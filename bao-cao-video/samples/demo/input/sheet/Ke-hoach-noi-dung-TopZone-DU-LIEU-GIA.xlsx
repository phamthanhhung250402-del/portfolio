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Tổng quan" sheetId="1" state="visible" r:id="rId1"/>
    <sheet xmlns:r="http://schemas.openxmlformats.org/officeDocument/2006/relationships" name="03 Content Calendars" sheetId="2" state="visible" r:id="rId2"/>
    <sheet xmlns:r="http://schemas.openxmlformats.org/officeDocument/2006/relationships" name="05 Phase Plan" sheetId="3" state="visible" r:id="rId3"/>
    <sheet xmlns:r="http://schemas.openxmlformats.org/officeDocument/2006/relationships" name="06 Performance" sheetId="4" state="visible" r:id="rId4"/>
    <sheet xmlns:r="http://schemas.openxmlformats.org/officeDocument/2006/relationships" name="07 Paid A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DỮ LIỆU GIẢ - chỉ để chạy thử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6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s="1" t="inlineStr">
        <is>
          <t>CONTENT CALENDAR - TOPZONE (DỮ LIỆU GIẢ)</t>
        </is>
      </c>
    </row>
    <row r="3">
      <c r="A3" t="inlineStr">
        <is>
          <t>Bảng mẫu tạo tự động để kiểm thử công cụ.</t>
        </is>
      </c>
    </row>
    <row r="5">
      <c r="A5" s="2" t="inlineStr">
        <is>
          <t>Tuần</t>
        </is>
      </c>
      <c r="B5" s="2" t="inlineStr">
        <is>
          <t>Thời gian</t>
        </is>
      </c>
      <c r="C5" s="2" t="inlineStr">
        <is>
          <t>Kênh</t>
        </is>
      </c>
      <c r="D5" s="2" t="inlineStr">
        <is>
          <t>Pillar/Theme</t>
        </is>
      </c>
      <c r="E5" s="2" t="inlineStr">
        <is>
          <t>Loại nội dung</t>
        </is>
      </c>
      <c r="F5" s="2" t="inlineStr">
        <is>
          <t>Chủ đề/Deliverable</t>
        </is>
      </c>
      <c r="G5" s="2" t="inlineStr">
        <is>
          <t>Phase</t>
        </is>
      </c>
      <c r="H5" s="2" t="inlineStr">
        <is>
          <t>Status</t>
        </is>
      </c>
      <c r="I5" s="2" t="inlineStr">
        <is>
          <t>Ghi chú</t>
        </is>
      </c>
      <c r="J5" s="2" t="inlineStr">
        <is>
          <t>Link TikTok</t>
        </is>
      </c>
      <c r="K5" s="2" t="inlineStr">
        <is>
          <t>Ngày đăng</t>
        </is>
      </c>
      <c r="L5" s="2" t="inlineStr">
        <is>
          <t>Link FB</t>
        </is>
      </c>
      <c r="M5" s="2" t="inlineStr">
        <is>
          <t>Người làm</t>
        </is>
      </c>
      <c r="N5" s="2" t="inlineStr">
        <is>
          <t>Nhóm nội dung</t>
        </is>
      </c>
      <c r="O5" s="2" t="inlineStr">
        <is>
          <t>Thời lượng (s)</t>
        </is>
      </c>
      <c r="P5" s="2" t="inlineStr">
        <is>
          <t>TikTok views</t>
        </is>
      </c>
      <c r="Q5" s="2" t="inlineStr">
        <is>
          <t>TikTok likes</t>
        </is>
      </c>
      <c r="R5" s="2" t="inlineStr">
        <is>
          <t>TikTok shares</t>
        </is>
      </c>
      <c r="S5" s="2" t="inlineStr">
        <is>
          <t>FB lượt xem 3s</t>
        </is>
      </c>
      <c r="T5" s="2" t="inlineStr">
        <is>
          <t>FB reach</t>
        </is>
      </c>
      <c r="U5" s="2" t="inlineStr">
        <is>
          <t>FB xem TB (s)</t>
        </is>
      </c>
      <c r="V5" s="2" t="inlineStr">
        <is>
          <t>FB chạy ads</t>
        </is>
      </c>
      <c r="W5" s="2" t="inlineStr">
        <is>
          <t>Tổng views</t>
        </is>
      </c>
      <c r="X5" s="2" t="inlineStr">
        <is>
          <t>Link YouTube</t>
        </is>
      </c>
      <c r="Y5" s="2" t="inlineStr">
        <is>
          <t>YouTube views</t>
        </is>
      </c>
      <c r="Z5" s="2" t="inlineStr">
        <is>
          <t>TikTok ER</t>
        </is>
      </c>
      <c r="AA5" s="2" t="inlineStr">
        <is>
          <t>FB hook rate</t>
        </is>
      </c>
      <c r="AB5" s="2" t="inlineStr">
        <is>
          <t>Campaign TikTok ads</t>
        </is>
      </c>
      <c r="AC5" s="2" t="inlineStr">
        <is>
          <t>Chi phí TikTok ads phân bổ</t>
        </is>
      </c>
      <c r="AD5" s="2" t="inlineStr">
        <is>
          <t>CPV TikTok</t>
        </is>
      </c>
      <c r="AE5" s="2" t="inlineStr">
        <is>
          <t>FB người xem ≥3s</t>
        </is>
      </c>
      <c r="AF5" s="2" t="inlineStr">
        <is>
          <t>Chi phí FB ads</t>
        </is>
      </c>
      <c r="AG5" s="2" t="inlineStr">
        <is>
          <t>CPV FB 3s</t>
        </is>
      </c>
      <c r="AH5" s="2" t="inlineStr">
        <is>
          <t>FB ads lượt phát</t>
        </is>
      </c>
      <c r="AI5" s="2" t="inlineStr">
        <is>
          <t>FB ads xem 25%</t>
        </is>
      </c>
      <c r="AJ5" s="2" t="inlineStr">
        <is>
          <t>FB ads xem 50%</t>
        </is>
      </c>
      <c r="AK5" s="2" t="inlineStr">
        <is>
          <t>Tỷ lệ xem 25%</t>
        </is>
      </c>
      <c r="AL5" s="2" t="inlineStr">
        <is>
          <t>Tỷ lệ xem 50%</t>
        </is>
      </c>
    </row>
    <row r="6">
      <c r="A6" s="3" t="inlineStr">
        <is>
          <t>JULY 2026 - BAU / Back to School · 25 video</t>
        </is>
      </c>
    </row>
    <row r="7">
      <c r="A7" t="inlineStr">
        <is>
          <t>W3</t>
        </is>
      </c>
      <c r="B7" t="inlineStr">
        <is>
          <t>19/07</t>
        </is>
      </c>
      <c r="C7" t="inlineStr">
        <is>
          <t>TikTok + FB</t>
        </is>
      </c>
      <c r="D7" t="inlineStr">
        <is>
          <t>Brand</t>
        </is>
      </c>
      <c r="E7" t="inlineStr">
        <is>
          <t>Video 9:16</t>
        </is>
      </c>
      <c r="F7" t="inlineStr">
        <is>
          <t>Chuyển dữ liệu Android sang iPhone #1</t>
        </is>
      </c>
      <c r="G7" t="inlineStr">
        <is>
          <t>T7 - BAU</t>
        </is>
      </c>
      <c r="H7" t="inlineStr">
        <is>
          <t>Đã air</t>
        </is>
      </c>
      <c r="J7" t="inlineStr">
        <is>
          <t>https://www.tiktok.com/@topzone.official/video/7540000000007919763</t>
        </is>
      </c>
      <c r="K7" s="4" t="n">
        <v>46222</v>
      </c>
      <c r="L7" t="inlineStr">
        <is>
          <t>https://www.facebook.com/reel/1200000000104729</t>
        </is>
      </c>
      <c r="M7" t="inlineStr">
        <is>
          <t>Hưng</t>
        </is>
      </c>
      <c r="N7" t="inlineStr">
        <is>
          <t>Upgrade / Hướng dẫn (talking-head)</t>
        </is>
      </c>
      <c r="O7" t="n">
        <v>45</v>
      </c>
      <c r="P7" t="n">
        <v>200940</v>
      </c>
      <c r="Q7" t="n">
        <v>3486</v>
      </c>
      <c r="R7" t="n">
        <v>494</v>
      </c>
      <c r="S7" t="n">
        <v>76851</v>
      </c>
      <c r="T7" t="n">
        <v>285327</v>
      </c>
      <c r="U7" t="n">
        <v>8.9</v>
      </c>
      <c r="V7" t="inlineStr">
        <is>
          <t>Có</t>
        </is>
      </c>
      <c r="W7">
        <f>IFERROR(P7+S7+N(Y7),"")</f>
        <v/>
      </c>
      <c r="Z7">
        <f>IFERROR((Q7+R7)/P7,"")</f>
        <v/>
      </c>
      <c r="AA7">
        <f>IFERROR(S7/T7,"")</f>
        <v/>
      </c>
      <c r="AB7" t="inlineStr">
        <is>
          <t>TZ_2026-07_BAU</t>
        </is>
      </c>
      <c r="AC7" t="n">
        <v>4007219</v>
      </c>
      <c r="AD7">
        <f>IFERROR(AC7/P7,"")</f>
        <v/>
      </c>
      <c r="AE7" t="n">
        <v>41303</v>
      </c>
      <c r="AF7" t="n">
        <v>1071311</v>
      </c>
      <c r="AG7">
        <f>IFERROR(AF7/AE7,"")</f>
        <v/>
      </c>
      <c r="AH7" t="n">
        <v>140156</v>
      </c>
      <c r="AI7" t="n">
        <v>51263</v>
      </c>
      <c r="AJ7" t="n">
        <v>36731</v>
      </c>
      <c r="AK7">
        <f>IFERROR(AI7/AH7,"")</f>
        <v/>
      </c>
      <c r="AL7">
        <f>IFERROR(AJ7/AH7,"")</f>
        <v/>
      </c>
    </row>
    <row r="8">
      <c r="A8" t="inlineStr">
        <is>
          <t>W3</t>
        </is>
      </c>
      <c r="B8" t="inlineStr">
        <is>
          <t>21/07</t>
        </is>
      </c>
      <c r="C8" t="inlineStr">
        <is>
          <t>TikTok + FB</t>
        </is>
      </c>
      <c r="D8" t="inlineStr">
        <is>
          <t>Brand</t>
        </is>
      </c>
      <c r="E8" t="inlineStr">
        <is>
          <t>Video 9:16</t>
        </is>
      </c>
      <c r="F8" t="inlineStr">
        <is>
          <t>Cách chụp đêm đẹp bằng iPhone #2</t>
        </is>
      </c>
      <c r="G8" t="inlineStr">
        <is>
          <t>T7 - BAU</t>
        </is>
      </c>
      <c r="H8" t="inlineStr">
        <is>
          <t>Đã air</t>
        </is>
      </c>
      <c r="J8" t="inlineStr">
        <is>
          <t>https://www.tiktok.com/@topzone.official/video/7540000000015839253</t>
        </is>
      </c>
      <c r="K8" s="4" t="n">
        <v>46224</v>
      </c>
      <c r="L8" t="inlineStr">
        <is>
          <t>https://www.facebook.com/100064123456789/posts/1200000000209458</t>
        </is>
      </c>
      <c r="M8" t="inlineStr">
        <is>
          <t>Hưng</t>
        </is>
      </c>
      <c r="N8" t="inlineStr">
        <is>
          <t>Upgrade / Hướng dẫn (talking-head)</t>
        </is>
      </c>
      <c r="O8" t="n">
        <v>77</v>
      </c>
      <c r="P8" t="n">
        <v>150143</v>
      </c>
      <c r="Q8" t="n">
        <v>2636</v>
      </c>
      <c r="R8" t="n">
        <v>611</v>
      </c>
      <c r="S8" t="n">
        <v>104323</v>
      </c>
      <c r="T8" t="n">
        <v>247760</v>
      </c>
      <c r="U8" t="n">
        <v>7.1</v>
      </c>
      <c r="V8" t="inlineStr">
        <is>
          <t>Có</t>
        </is>
      </c>
      <c r="W8">
        <f>IFERROR(P8+S8+N(Y8),"")</f>
        <v/>
      </c>
      <c r="Z8">
        <f>IFERROR((Q8+R8)/P8,"")</f>
        <v/>
      </c>
      <c r="AA8">
        <f>IFERROR(S8/T8,"")</f>
        <v/>
      </c>
      <c r="AB8" t="inlineStr">
        <is>
          <t>TZ_2026-07_BAU</t>
        </is>
      </c>
      <c r="AC8" t="n">
        <v>5094318</v>
      </c>
      <c r="AD8">
        <f>IFERROR(AC8/P8,"")</f>
        <v/>
      </c>
      <c r="AE8" t="n">
        <v>63747</v>
      </c>
      <c r="AF8" t="n">
        <v>1793073</v>
      </c>
      <c r="AG8">
        <f>IFERROR(AF8/AE8,"")</f>
        <v/>
      </c>
      <c r="AH8" t="n">
        <v>191249</v>
      </c>
      <c r="AI8" t="n">
        <v>77148</v>
      </c>
      <c r="AJ8" t="n">
        <v>53067</v>
      </c>
      <c r="AK8">
        <f>IFERROR(AI8/AH8,"")</f>
        <v/>
      </c>
      <c r="AL8">
        <f>IFERROR(AJ8/AH8,"")</f>
        <v/>
      </c>
    </row>
    <row r="9">
      <c r="A9" t="inlineStr">
        <is>
          <t>W3</t>
        </is>
      </c>
      <c r="B9" t="inlineStr">
        <is>
          <t>21/07</t>
        </is>
      </c>
      <c r="C9" t="inlineStr">
        <is>
          <t>TikTok + FB</t>
        </is>
      </c>
      <c r="D9" t="inlineStr">
        <is>
          <t>Brand</t>
        </is>
      </c>
      <c r="E9" t="inlineStr">
        <is>
          <t>Video 9:16</t>
        </is>
      </c>
      <c r="F9" t="inlineStr">
        <is>
          <t>Thu cũ MacBook giá cao #3</t>
        </is>
      </c>
      <c r="G9" t="inlineStr">
        <is>
          <t>T7 - BAU</t>
        </is>
      </c>
      <c r="H9" t="inlineStr">
        <is>
          <t>Đã air</t>
        </is>
      </c>
      <c r="J9" t="inlineStr">
        <is>
          <t>https://www.tiktok.com/@topzone.official/video/7540000000023758466</t>
        </is>
      </c>
      <c r="K9" s="4" t="n">
        <v>46224</v>
      </c>
      <c r="L9" t="inlineStr">
        <is>
          <t>https://www.facebook.com/topzone.vn/videos/1200000000314187/</t>
        </is>
      </c>
      <c r="M9" t="inlineStr">
        <is>
          <t>Hưng</t>
        </is>
      </c>
      <c r="N9" t="inlineStr">
        <is>
          <t>Thu cũ đổi mới &amp; Dịch vụ TopZone</t>
        </is>
      </c>
      <c r="O9" t="n">
        <v>52</v>
      </c>
      <c r="P9" t="n">
        <v>167838</v>
      </c>
      <c r="Q9" t="n">
        <v>3017</v>
      </c>
      <c r="R9" t="n">
        <v>527</v>
      </c>
      <c r="S9" t="n">
        <v>98959</v>
      </c>
      <c r="T9" t="n">
        <v>236421</v>
      </c>
      <c r="U9" t="n">
        <v>5.9</v>
      </c>
      <c r="V9" t="inlineStr">
        <is>
          <t>Có</t>
        </is>
      </c>
      <c r="W9">
        <f>IFERROR(P9+S9+N(Y9),"")</f>
        <v/>
      </c>
      <c r="Z9">
        <f>IFERROR((Q9+R9)/P9,"")</f>
        <v/>
      </c>
      <c r="AA9">
        <f>IFERROR(S9/T9,"")</f>
        <v/>
      </c>
      <c r="AB9" t="inlineStr">
        <is>
          <t>TZ_2026-07_BAU</t>
        </is>
      </c>
      <c r="AC9" t="n">
        <v>2906020</v>
      </c>
      <c r="AD9">
        <f>IFERROR(AC9/P9,"")</f>
        <v/>
      </c>
      <c r="AE9" t="n">
        <v>51444</v>
      </c>
      <c r="AF9" t="n">
        <v>1193476</v>
      </c>
      <c r="AG9">
        <f>IFERROR(AF9/AE9,"")</f>
        <v/>
      </c>
      <c r="AH9" t="n">
        <v>176938</v>
      </c>
      <c r="AI9" t="n">
        <v>81999</v>
      </c>
      <c r="AJ9" t="n">
        <v>39458</v>
      </c>
      <c r="AK9">
        <f>IFERROR(AI9/AH9,"")</f>
        <v/>
      </c>
      <c r="AL9">
        <f>IFERROR(AJ9/AH9,"")</f>
        <v/>
      </c>
    </row>
    <row r="10">
      <c r="A10" t="inlineStr">
        <is>
          <t>W1</t>
        </is>
      </c>
      <c r="B10" t="inlineStr">
        <is>
          <t>07/07</t>
        </is>
      </c>
      <c r="C10" t="inlineStr">
        <is>
          <t>TikTok + FB</t>
        </is>
      </c>
      <c r="D10" t="inlineStr">
        <is>
          <t>Brand</t>
        </is>
      </c>
      <c r="E10" t="inlineStr">
        <is>
          <t>Video 9:16</t>
        </is>
      </c>
      <c r="F10" t="inlineStr">
        <is>
          <t>KV khuyến mãi tháng #4</t>
        </is>
      </c>
      <c r="G10" t="inlineStr">
        <is>
          <t>T7 - BAU</t>
        </is>
      </c>
      <c r="H10" t="inlineStr">
        <is>
          <t>Đã air</t>
        </is>
      </c>
      <c r="J10" t="inlineStr">
        <is>
          <t>https://www.tiktok.com/@topzone.official/video/7540000000031678260</t>
        </is>
      </c>
      <c r="K10" s="4" t="n">
        <v>46210</v>
      </c>
      <c r="L10" t="inlineStr">
        <is>
          <t>https://www.facebook.com/reel/1200000000418916</t>
        </is>
      </c>
      <c r="M10" t="inlineStr">
        <is>
          <t>Hưng</t>
        </is>
      </c>
      <c r="N10" t="inlineStr">
        <is>
          <t>Motion KV</t>
        </is>
      </c>
      <c r="O10" t="n">
        <v>23</v>
      </c>
      <c r="P10" t="n">
        <v>154866</v>
      </c>
      <c r="Q10" t="n">
        <v>1511</v>
      </c>
      <c r="R10" t="n">
        <v>184</v>
      </c>
      <c r="S10" t="n">
        <v>77425</v>
      </c>
      <c r="T10" t="n">
        <v>211136</v>
      </c>
      <c r="U10" t="n">
        <v>3.4</v>
      </c>
      <c r="V10" t="inlineStr">
        <is>
          <t>Có</t>
        </is>
      </c>
      <c r="W10">
        <f>IFERROR(P10+S10+N(Y10),"")</f>
        <v/>
      </c>
      <c r="Z10">
        <f>IFERROR((Q10+R10)/P10,"")</f>
        <v/>
      </c>
      <c r="AA10">
        <f>IFERROR(S10/T10,"")</f>
        <v/>
      </c>
      <c r="AB10" t="inlineStr">
        <is>
          <t>TZ_2026-07_BAU</t>
        </is>
      </c>
      <c r="AC10" t="n">
        <v>2747613</v>
      </c>
      <c r="AD10">
        <f>IFERROR(AC10/P10,"")</f>
        <v/>
      </c>
      <c r="AE10" t="n">
        <v>41259</v>
      </c>
      <c r="AF10" t="n">
        <v>850862</v>
      </c>
      <c r="AG10">
        <f>IFERROR(AF10/AE10,"")</f>
        <v/>
      </c>
      <c r="AH10" t="n">
        <v>122408</v>
      </c>
      <c r="AI10" t="n">
        <v>62234</v>
      </c>
      <c r="AJ10" t="n">
        <v>16471</v>
      </c>
      <c r="AK10">
        <f>IFERROR(AI10/AH10,"")</f>
        <v/>
      </c>
      <c r="AL10">
        <f>IFERROR(AJ10/AH10,"")</f>
        <v/>
      </c>
    </row>
    <row r="11">
      <c r="A11" t="inlineStr">
        <is>
          <t>W1</t>
        </is>
      </c>
      <c r="B11" t="inlineStr">
        <is>
          <t>03/07</t>
        </is>
      </c>
      <c r="C11" t="inlineStr">
        <is>
          <t>TikTok + FB</t>
        </is>
      </c>
      <c r="D11" t="inlineStr">
        <is>
          <t>Brand</t>
        </is>
      </c>
      <c r="E11" t="inlineStr">
        <is>
          <t>Video 9:16</t>
        </is>
      </c>
      <c r="F11" t="inlineStr">
        <is>
          <t>Motion giá iPad #5</t>
        </is>
      </c>
      <c r="G11" t="inlineStr">
        <is>
          <t>T7 - BAU</t>
        </is>
      </c>
      <c r="H11" t="inlineStr">
        <is>
          <t>Đang edit</t>
        </is>
      </c>
      <c r="J11" t="inlineStr">
        <is>
          <t>https://www.tiktok.com/@topzone.official/video/7540000000039597221</t>
        </is>
      </c>
      <c r="K11" s="4" t="n">
        <v>46206</v>
      </c>
      <c r="L11" t="inlineStr">
        <is>
          <t>https://www.facebook.com/100064123456789/posts/1200000000523645</t>
        </is>
      </c>
      <c r="M11" t="inlineStr">
        <is>
          <t>Hùng</t>
        </is>
      </c>
      <c r="N11" t="inlineStr">
        <is>
          <t>Motion KV</t>
        </is>
      </c>
      <c r="O11" t="n">
        <v>8</v>
      </c>
      <c r="W11">
        <f>IFERROR(P11+S11+N(Y11),"")</f>
        <v/>
      </c>
      <c r="Z11">
        <f>IFERROR((Q11+R11)/P11,"")</f>
        <v/>
      </c>
      <c r="AA11">
        <f>IFERROR(S11/T11,"")</f>
        <v/>
      </c>
      <c r="AD11">
        <f>IFERROR(AC11/P11,"")</f>
        <v/>
      </c>
      <c r="AG11">
        <f>IFERROR(AF11/AE11,"")</f>
        <v/>
      </c>
      <c r="AK11">
        <f>IFERROR(AI11/AH11,"")</f>
        <v/>
      </c>
      <c r="AL11">
        <f>IFERROR(AJ11/AH11,"")</f>
        <v/>
      </c>
    </row>
    <row r="12">
      <c r="A12" t="inlineStr">
        <is>
          <t>W1</t>
        </is>
      </c>
      <c r="B12" t="inlineStr">
        <is>
          <t>04/07</t>
        </is>
      </c>
      <c r="C12" t="inlineStr">
        <is>
          <t>TikTok + FB</t>
        </is>
      </c>
      <c r="D12" t="inlineStr">
        <is>
          <t>Sales</t>
        </is>
      </c>
      <c r="E12" t="inlineStr">
        <is>
          <t>Video 9:16</t>
        </is>
      </c>
      <c r="F12" t="inlineStr">
        <is>
          <t>Apple Watch giá tốt nhất tháng #6</t>
        </is>
      </c>
      <c r="G12" t="inlineStr">
        <is>
          <t>T7 - BAU</t>
        </is>
      </c>
      <c r="H12" t="inlineStr">
        <is>
          <t>Đã air</t>
        </is>
      </c>
      <c r="J12" t="inlineStr">
        <is>
          <t>https://www.tiktok.com/@topzone.official/video/7540000000047516640</t>
        </is>
      </c>
      <c r="K12" s="4" t="n">
        <v>46207</v>
      </c>
      <c r="L12" t="inlineStr">
        <is>
          <t>https://www.facebook.com/topzone.vn/videos/1200000000628374/</t>
        </is>
      </c>
      <c r="M12" t="inlineStr">
        <is>
          <t>Hưng</t>
        </is>
      </c>
      <c r="N12" t="inlineStr">
        <is>
          <t>Promotion / Giá - trả chậm</t>
        </is>
      </c>
      <c r="O12" t="n">
        <v>37</v>
      </c>
      <c r="P12" t="n">
        <v>188553</v>
      </c>
      <c r="Q12" t="n">
        <v>2650</v>
      </c>
      <c r="R12" t="n">
        <v>347</v>
      </c>
      <c r="S12" t="n">
        <v>128918</v>
      </c>
      <c r="T12" t="n">
        <v>296713</v>
      </c>
      <c r="U12" t="n">
        <v>7.1</v>
      </c>
      <c r="V12" t="inlineStr">
        <is>
          <t>Có</t>
        </is>
      </c>
      <c r="W12">
        <f>IFERROR(P12+S12+N(Y12),"")</f>
        <v/>
      </c>
      <c r="Z12">
        <f>IFERROR((Q12+R12)/P12,"")</f>
        <v/>
      </c>
      <c r="AA12">
        <f>IFERROR(S12/T12,"")</f>
        <v/>
      </c>
      <c r="AB12" t="inlineStr">
        <is>
          <t>TZ_2026-07_BAU</t>
        </is>
      </c>
      <c r="AC12" t="n">
        <v>3154165</v>
      </c>
      <c r="AD12">
        <f>IFERROR(AC12/P12,"")</f>
        <v/>
      </c>
      <c r="AE12" t="n">
        <v>98443</v>
      </c>
      <c r="AF12" t="n">
        <v>1454717</v>
      </c>
      <c r="AG12">
        <f>IFERROR(AF12/AE12,"")</f>
        <v/>
      </c>
      <c r="AH12" t="n">
        <v>239690</v>
      </c>
      <c r="AI12" t="n">
        <v>98633</v>
      </c>
      <c r="AJ12" t="n">
        <v>38756</v>
      </c>
      <c r="AK12">
        <f>IFERROR(AI12/AH12,"")</f>
        <v/>
      </c>
      <c r="AL12">
        <f>IFERROR(AJ12/AH12,"")</f>
        <v/>
      </c>
    </row>
    <row r="13">
      <c r="A13" t="inlineStr">
        <is>
          <t>W5</t>
        </is>
      </c>
      <c r="B13" t="inlineStr">
        <is>
          <t>29/07</t>
        </is>
      </c>
      <c r="C13" t="inlineStr">
        <is>
          <t>TikTok + FB</t>
        </is>
      </c>
      <c r="D13" t="inlineStr">
        <is>
          <t>Sales</t>
        </is>
      </c>
      <c r="E13" t="inlineStr">
        <is>
          <t>Video 9:16</t>
        </is>
      </c>
      <c r="F13" t="inlineStr">
        <is>
          <t>MacBook Air M4 giá sốc cuối tuần #7</t>
        </is>
      </c>
      <c r="G13" t="inlineStr">
        <is>
          <t>T7 - BAU</t>
        </is>
      </c>
      <c r="H13" t="inlineStr">
        <is>
          <t>Đã air</t>
        </is>
      </c>
      <c r="J13" t="inlineStr">
        <is>
          <t>https://www.tiktok.com/@topzone.official/video/7540000000055436095</t>
        </is>
      </c>
      <c r="K13" s="4" t="n">
        <v>46232</v>
      </c>
      <c r="L13" t="inlineStr">
        <is>
          <t>https://www.facebook.com/reel/1200000000733103</t>
        </is>
      </c>
      <c r="M13" t="inlineStr">
        <is>
          <t>Hưng</t>
        </is>
      </c>
      <c r="N13" t="inlineStr">
        <is>
          <t>Promotion / Giá - trả chậm</t>
        </is>
      </c>
      <c r="O13" t="n">
        <v>19</v>
      </c>
      <c r="P13" t="n">
        <v>134359</v>
      </c>
      <c r="Q13" t="n">
        <v>2510</v>
      </c>
      <c r="R13" t="n">
        <v>354</v>
      </c>
      <c r="S13" t="n">
        <v>75551</v>
      </c>
      <c r="T13" t="n">
        <v>170593</v>
      </c>
      <c r="U13" t="n">
        <v>6.9</v>
      </c>
      <c r="V13" t="inlineStr">
        <is>
          <t>Có</t>
        </is>
      </c>
      <c r="W13">
        <f>IFERROR(P13+S13+N(Y13),"")</f>
        <v/>
      </c>
      <c r="Z13">
        <f>IFERROR((Q13+R13)/P13,"")</f>
        <v/>
      </c>
      <c r="AA13">
        <f>IFERROR(S13/T13,"")</f>
        <v/>
      </c>
      <c r="AB13" t="inlineStr">
        <is>
          <t>TZ_2026-07_BAU</t>
        </is>
      </c>
      <c r="AC13" t="n">
        <v>2951532</v>
      </c>
      <c r="AD13">
        <f>IFERROR(AC13/P13,"")</f>
        <v/>
      </c>
      <c r="AE13" t="n">
        <v>46239</v>
      </c>
      <c r="AF13" t="n">
        <v>1149976</v>
      </c>
      <c r="AG13">
        <f>IFERROR(AF13/AE13,"")</f>
        <v/>
      </c>
      <c r="AH13" t="n">
        <v>140861</v>
      </c>
      <c r="AI13" t="n">
        <v>62020</v>
      </c>
      <c r="AJ13" t="n">
        <v>26287</v>
      </c>
      <c r="AK13">
        <f>IFERROR(AI13/AH13,"")</f>
        <v/>
      </c>
      <c r="AL13">
        <f>IFERROR(AJ13/AH13,"")</f>
        <v/>
      </c>
    </row>
    <row r="14">
      <c r="A14" t="inlineStr">
        <is>
          <t>W1</t>
        </is>
      </c>
      <c r="B14" t="inlineStr">
        <is>
          <t>03/07</t>
        </is>
      </c>
      <c r="C14" t="inlineStr">
        <is>
          <t>TikTok + FB</t>
        </is>
      </c>
      <c r="D14" t="inlineStr">
        <is>
          <t>Brand</t>
        </is>
      </c>
      <c r="E14" t="inlineStr">
        <is>
          <t>Video 9:16</t>
        </is>
      </c>
      <c r="F14" t="inlineStr">
        <is>
          <t>Bảo hành 1 đổi 1 tại TopZone #8</t>
        </is>
      </c>
      <c r="G14" t="inlineStr">
        <is>
          <t>T7 - BAU</t>
        </is>
      </c>
      <c r="H14" t="inlineStr">
        <is>
          <t>Đang edit</t>
        </is>
      </c>
      <c r="J14" t="inlineStr">
        <is>
          <t>https://www.tiktok.com/@topzone.official/video/7540000000063354883</t>
        </is>
      </c>
      <c r="K14" s="4" t="n">
        <v>46206</v>
      </c>
      <c r="L14" t="inlineStr">
        <is>
          <t>https://www.facebook.com/100064123456789/posts/1200000000837832</t>
        </is>
      </c>
      <c r="M14" t="inlineStr">
        <is>
          <t>Hưng</t>
        </is>
      </c>
      <c r="N14" t="inlineStr">
        <is>
          <t>Thu cũ đổi mới &amp; Dịch vụ TopZone</t>
        </is>
      </c>
      <c r="O14" t="n">
        <v>32</v>
      </c>
      <c r="W14">
        <f>IFERROR(P14+S14+N(Y14),"")</f>
        <v/>
      </c>
      <c r="Z14">
        <f>IFERROR((Q14+R14)/P14,"")</f>
        <v/>
      </c>
      <c r="AA14">
        <f>IFERROR(S14/T14,"")</f>
        <v/>
      </c>
      <c r="AD14">
        <f>IFERROR(AC14/P14,"")</f>
        <v/>
      </c>
      <c r="AG14">
        <f>IFERROR(AF14/AE14,"")</f>
        <v/>
      </c>
      <c r="AK14">
        <f>IFERROR(AI14/AH14,"")</f>
        <v/>
      </c>
      <c r="AL14">
        <f>IFERROR(AJ14/AH14,"")</f>
        <v/>
      </c>
    </row>
    <row r="15">
      <c r="A15" t="inlineStr">
        <is>
          <t>W4</t>
        </is>
      </c>
      <c r="B15" t="inlineStr">
        <is>
          <t>28/07</t>
        </is>
      </c>
      <c r="C15" t="inlineStr">
        <is>
          <t>TikTok + FB</t>
        </is>
      </c>
      <c r="D15" t="inlineStr">
        <is>
          <t>Brand</t>
        </is>
      </c>
      <c r="E15" t="inlineStr">
        <is>
          <t>Video 9:16</t>
        </is>
      </c>
      <c r="F15" t="inlineStr">
        <is>
          <t>5 mẹo iOS ít người biết #9</t>
        </is>
      </c>
      <c r="G15" t="inlineStr">
        <is>
          <t>T7 - BAU</t>
        </is>
      </c>
      <c r="H15" t="inlineStr">
        <is>
          <t>Đã air</t>
        </is>
      </c>
      <c r="J15" t="inlineStr">
        <is>
          <t>https://www.tiktok.com/@topzone.official/video/7540000000071274861</t>
        </is>
      </c>
      <c r="K15" s="4" t="n">
        <v>46231</v>
      </c>
      <c r="L15" t="inlineStr">
        <is>
          <t>https://www.facebook.com/topzone.vn/videos/1200000000942561/</t>
        </is>
      </c>
      <c r="M15" t="inlineStr">
        <is>
          <t>Hưng</t>
        </is>
      </c>
      <c r="N15" t="inlineStr">
        <is>
          <t>Upgrade / Hướng dẫn (talking-head)</t>
        </is>
      </c>
      <c r="O15" t="n">
        <v>47</v>
      </c>
      <c r="P15" t="n">
        <v>126075</v>
      </c>
      <c r="Q15" t="n">
        <v>2536</v>
      </c>
      <c r="R15" t="n">
        <v>591</v>
      </c>
      <c r="S15" t="n">
        <v>52222</v>
      </c>
      <c r="T15" t="n">
        <v>152461</v>
      </c>
      <c r="U15" t="n">
        <v>9.4</v>
      </c>
      <c r="V15" t="inlineStr">
        <is>
          <t>Có</t>
        </is>
      </c>
      <c r="W15">
        <f>IFERROR(P15+S15+N(Y15),"")</f>
        <v/>
      </c>
      <c r="Z15">
        <f>IFERROR((Q15+R15)/P15,"")</f>
        <v/>
      </c>
      <c r="AA15">
        <f>IFERROR(S15/T15,"")</f>
        <v/>
      </c>
      <c r="AB15" t="inlineStr">
        <is>
          <t>TZ_2026-07_BAU</t>
        </is>
      </c>
      <c r="AC15" t="n">
        <v>1963895</v>
      </c>
      <c r="AD15">
        <f>IFERROR(AC15/P15,"")</f>
        <v/>
      </c>
      <c r="AE15" t="n">
        <v>26903</v>
      </c>
      <c r="AF15" t="n">
        <v>585543</v>
      </c>
      <c r="AG15">
        <f>IFERROR(AF15/AE15,"")</f>
        <v/>
      </c>
      <c r="AH15" t="n">
        <v>95944</v>
      </c>
      <c r="AI15" t="n">
        <v>49622</v>
      </c>
      <c r="AJ15" t="n">
        <v>33187</v>
      </c>
      <c r="AK15">
        <f>IFERROR(AI15/AH15,"")</f>
        <v/>
      </c>
      <c r="AL15">
        <f>IFERROR(AJ15/AH15,"")</f>
        <v/>
      </c>
    </row>
    <row r="16">
      <c r="A16" t="inlineStr">
        <is>
          <t>W5</t>
        </is>
      </c>
      <c r="B16" t="inlineStr">
        <is>
          <t>30/07</t>
        </is>
      </c>
      <c r="C16" t="inlineStr">
        <is>
          <t>TikTok + FB</t>
        </is>
      </c>
      <c r="D16" t="inlineStr">
        <is>
          <t>Brand</t>
        </is>
      </c>
      <c r="E16" t="inlineStr">
        <is>
          <t>Video 9:16</t>
        </is>
      </c>
      <c r="F16" t="inlineStr">
        <is>
          <t>Không khí đêm mở bán #10</t>
        </is>
      </c>
      <c r="G16" t="inlineStr">
        <is>
          <t>T7 - BAU</t>
        </is>
      </c>
      <c r="H16" t="inlineStr">
        <is>
          <t>Đã air</t>
        </is>
      </c>
      <c r="J16" t="inlineStr">
        <is>
          <t>https://www.tiktok.com/@topzone.official/video/7540000000079193726</t>
        </is>
      </c>
      <c r="K16" s="4" t="n">
        <v>46233</v>
      </c>
      <c r="L16" t="inlineStr">
        <is>
          <t>https://www.facebook.com/reel/1200000001047290</t>
        </is>
      </c>
      <c r="M16" t="inlineStr">
        <is>
          <t>Hưng</t>
        </is>
      </c>
      <c r="N16" t="inlineStr">
        <is>
          <t>Mở bán / Sự kiện / Social proof</t>
        </is>
      </c>
      <c r="O16" t="n">
        <v>8</v>
      </c>
      <c r="P16" t="n">
        <v>368820</v>
      </c>
      <c r="Q16" t="n">
        <v>10027</v>
      </c>
      <c r="R16" t="n">
        <v>2406</v>
      </c>
      <c r="S16" t="n">
        <v>178007</v>
      </c>
      <c r="T16" t="n">
        <v>398170</v>
      </c>
      <c r="U16" t="n">
        <v>6.8</v>
      </c>
      <c r="V16" t="inlineStr">
        <is>
          <t>Có</t>
        </is>
      </c>
      <c r="W16">
        <f>IFERROR(P16+S16+N(Y16),"")</f>
        <v/>
      </c>
      <c r="Z16">
        <f>IFERROR((Q16+R16)/P16,"")</f>
        <v/>
      </c>
      <c r="AA16">
        <f>IFERROR(S16/T16,"")</f>
        <v/>
      </c>
      <c r="AB16" t="inlineStr">
        <is>
          <t>TZ_2026-07_BAU</t>
        </is>
      </c>
      <c r="AC16" t="n">
        <v>5061410</v>
      </c>
      <c r="AD16">
        <f>IFERROR(AC16/P16,"")</f>
        <v/>
      </c>
      <c r="AE16" t="n">
        <v>130836</v>
      </c>
      <c r="AF16" t="n">
        <v>1535823</v>
      </c>
      <c r="AG16">
        <f>IFERROR(AF16/AE16,"")</f>
        <v/>
      </c>
      <c r="AH16" t="n">
        <v>272813</v>
      </c>
      <c r="AI16" t="n">
        <v>122038</v>
      </c>
      <c r="AJ16" t="n">
        <v>51777</v>
      </c>
      <c r="AK16">
        <f>IFERROR(AI16/AH16,"")</f>
        <v/>
      </c>
      <c r="AL16">
        <f>IFERROR(AJ16/AH16,"")</f>
        <v/>
      </c>
    </row>
    <row r="17">
      <c r="A17" t="inlineStr">
        <is>
          <t>W1</t>
        </is>
      </c>
      <c r="B17" t="inlineStr">
        <is>
          <t>07/07</t>
        </is>
      </c>
      <c r="C17" t="inlineStr">
        <is>
          <t>TikTok + FB</t>
        </is>
      </c>
      <c r="D17" t="inlineStr">
        <is>
          <t>Brand</t>
        </is>
      </c>
      <c r="E17" t="inlineStr">
        <is>
          <t>Video 9:16</t>
        </is>
      </c>
      <c r="F17" t="inlineStr">
        <is>
          <t>Lên đời iPhone trợ giá 2 triệu #11</t>
        </is>
      </c>
      <c r="G17" t="inlineStr">
        <is>
          <t>T7 - BAU</t>
        </is>
      </c>
      <c r="H17" t="inlineStr">
        <is>
          <t>Đã air</t>
        </is>
      </c>
      <c r="J17" t="inlineStr">
        <is>
          <t>https://www.tiktok.com/@topzone.official/video/7540000000087112699</t>
        </is>
      </c>
      <c r="K17" s="4" t="n">
        <v>46210</v>
      </c>
      <c r="L17" t="inlineStr">
        <is>
          <t>https://www.facebook.com/100064123456789/posts/1200000001152019</t>
        </is>
      </c>
      <c r="M17" t="inlineStr">
        <is>
          <t>Hưng</t>
        </is>
      </c>
      <c r="N17" t="inlineStr">
        <is>
          <t>Thu cũ đổi mới &amp; Dịch vụ TopZone</t>
        </is>
      </c>
      <c r="O17" t="n">
        <v>53</v>
      </c>
      <c r="P17" t="n">
        <v>258775</v>
      </c>
      <c r="Q17" t="n">
        <v>4024</v>
      </c>
      <c r="R17" t="n">
        <v>749</v>
      </c>
      <c r="S17" t="n">
        <v>95722</v>
      </c>
      <c r="T17" t="n">
        <v>272273</v>
      </c>
      <c r="U17" t="n">
        <v>5.5</v>
      </c>
      <c r="V17" t="inlineStr">
        <is>
          <t>Có</t>
        </is>
      </c>
      <c r="W17">
        <f>IFERROR(P17+S17+N(Y17),"")</f>
        <v/>
      </c>
      <c r="Z17">
        <f>IFERROR((Q17+R17)/P17,"")</f>
        <v/>
      </c>
      <c r="AA17">
        <f>IFERROR(S17/T17,"")</f>
        <v/>
      </c>
      <c r="AB17" t="inlineStr">
        <is>
          <t>TZ_2026-07_BAU</t>
        </is>
      </c>
      <c r="AC17" t="n">
        <v>4808247</v>
      </c>
      <c r="AD17">
        <f>IFERROR(AC17/P17,"")</f>
        <v/>
      </c>
      <c r="AE17" t="n">
        <v>51303</v>
      </c>
      <c r="AF17" t="n">
        <v>1227900</v>
      </c>
      <c r="AG17">
        <f>IFERROR(AF17/AE17,"")</f>
        <v/>
      </c>
      <c r="AH17" t="n">
        <v>174756</v>
      </c>
      <c r="AI17" t="n">
        <v>69770</v>
      </c>
      <c r="AJ17" t="n">
        <v>36887</v>
      </c>
      <c r="AK17">
        <f>IFERROR(AI17/AH17,"")</f>
        <v/>
      </c>
      <c r="AL17">
        <f>IFERROR(AJ17/AH17,"")</f>
        <v/>
      </c>
    </row>
    <row r="18">
      <c r="A18" t="inlineStr">
        <is>
          <t>W3</t>
        </is>
      </c>
      <c r="B18" t="inlineStr">
        <is>
          <t>20/07</t>
        </is>
      </c>
      <c r="C18" t="inlineStr">
        <is>
          <t>TikTok + FB</t>
        </is>
      </c>
      <c r="D18" t="inlineStr">
        <is>
          <t>Brand</t>
        </is>
      </c>
      <c r="E18" t="inlineStr">
        <is>
          <t>Video 9:16</t>
        </is>
      </c>
      <c r="F18" t="inlineStr">
        <is>
          <t>KV khuyến mãi tháng #12</t>
        </is>
      </c>
      <c r="G18" t="inlineStr">
        <is>
          <t>T7 - BAU</t>
        </is>
      </c>
      <c r="H18" t="inlineStr">
        <is>
          <t>Đã air</t>
        </is>
      </c>
      <c r="J18" t="inlineStr">
        <is>
          <t>https://www.tiktok.com/@topzone.official/video/7540000000095032239</t>
        </is>
      </c>
      <c r="K18" s="4" t="n">
        <v>46223</v>
      </c>
      <c r="L18" t="inlineStr">
        <is>
          <t>https://www.facebook.com/topzone.vn/videos/1200000001256748/</t>
        </is>
      </c>
      <c r="M18" t="inlineStr">
        <is>
          <t>Hưng</t>
        </is>
      </c>
      <c r="N18" t="inlineStr">
        <is>
          <t>Motion KV</t>
        </is>
      </c>
      <c r="O18" t="n">
        <v>11</v>
      </c>
      <c r="P18" t="n">
        <v>105034</v>
      </c>
      <c r="Q18" t="n">
        <v>649</v>
      </c>
      <c r="R18" t="n">
        <v>195</v>
      </c>
      <c r="S18" t="n">
        <v>61454</v>
      </c>
      <c r="T18" t="n">
        <v>198239</v>
      </c>
      <c r="U18" t="n">
        <v>4.4</v>
      </c>
      <c r="V18" t="inlineStr">
        <is>
          <t>Có</t>
        </is>
      </c>
      <c r="W18">
        <f>IFERROR(P18+S18+N(Y18),"")</f>
        <v/>
      </c>
      <c r="Z18">
        <f>IFERROR((Q18+R18)/P18,"")</f>
        <v/>
      </c>
      <c r="AA18">
        <f>IFERROR(S18/T18,"")</f>
        <v/>
      </c>
      <c r="AB18" t="inlineStr">
        <is>
          <t>TZ_2026-07_BAU</t>
        </is>
      </c>
      <c r="AC18" t="n">
        <v>1631804</v>
      </c>
      <c r="AD18">
        <f>IFERROR(AC18/P18,"")</f>
        <v/>
      </c>
      <c r="AE18" t="n">
        <v>32570</v>
      </c>
      <c r="AF18" t="n">
        <v>568228</v>
      </c>
      <c r="AG18">
        <f>IFERROR(AF18/AE18,"")</f>
        <v/>
      </c>
      <c r="AH18" t="n">
        <v>95750</v>
      </c>
      <c r="AI18" t="n">
        <v>43200</v>
      </c>
      <c r="AJ18" t="n">
        <v>11779</v>
      </c>
      <c r="AK18">
        <f>IFERROR(AI18/AH18,"")</f>
        <v/>
      </c>
      <c r="AL18">
        <f>IFERROR(AJ18/AH18,"")</f>
        <v/>
      </c>
    </row>
    <row r="19">
      <c r="A19" t="inlineStr">
        <is>
          <t>W2</t>
        </is>
      </c>
      <c r="B19" t="inlineStr">
        <is>
          <t>12/07</t>
        </is>
      </c>
      <c r="C19" t="inlineStr">
        <is>
          <t>TikTok + FB</t>
        </is>
      </c>
      <c r="D19" t="inlineStr">
        <is>
          <t>Sales</t>
        </is>
      </c>
      <c r="E19" t="inlineStr">
        <is>
          <t>Video 9:16</t>
        </is>
      </c>
      <c r="F19" t="inlineStr">
        <is>
          <t>MacBook Air M4 giá sốc cuối tuần #13</t>
        </is>
      </c>
      <c r="G19" t="inlineStr">
        <is>
          <t>T7 - BAU</t>
        </is>
      </c>
      <c r="H19" t="inlineStr">
        <is>
          <t>Đã air</t>
        </is>
      </c>
      <c r="J19" t="inlineStr">
        <is>
          <t>https://www.tiktok.com/@topzone.official/video/7540000000102952156</t>
        </is>
      </c>
      <c r="K19" s="4" t="n">
        <v>46215</v>
      </c>
      <c r="L19" t="inlineStr">
        <is>
          <t>https://www.facebook.com/reel/1200000001361477</t>
        </is>
      </c>
      <c r="M19" t="inlineStr">
        <is>
          <t>Hưng</t>
        </is>
      </c>
      <c r="N19" t="inlineStr">
        <is>
          <t>Promotion / Giá - trả chậm</t>
        </is>
      </c>
      <c r="O19" t="n">
        <v>46</v>
      </c>
      <c r="P19" t="n">
        <v>200025</v>
      </c>
      <c r="Q19" t="n">
        <v>2669</v>
      </c>
      <c r="R19" t="n">
        <v>733</v>
      </c>
      <c r="S19" t="n">
        <v>108835</v>
      </c>
      <c r="T19" t="n">
        <v>249420</v>
      </c>
      <c r="U19" t="n">
        <v>6.2</v>
      </c>
      <c r="V19" t="inlineStr">
        <is>
          <t>Có</t>
        </is>
      </c>
      <c r="W19">
        <f>IFERROR(P19+S19+N(Y19),"")</f>
        <v/>
      </c>
      <c r="Z19">
        <f>IFERROR((Q19+R19)/P19,"")</f>
        <v/>
      </c>
      <c r="AA19">
        <f>IFERROR(S19/T19,"")</f>
        <v/>
      </c>
      <c r="AB19" t="inlineStr">
        <is>
          <t>TZ_2026-07_BAU</t>
        </is>
      </c>
      <c r="AC19" t="n">
        <v>2685881</v>
      </c>
      <c r="AD19">
        <f>IFERROR(AC19/P19,"")</f>
        <v/>
      </c>
      <c r="AE19" t="n">
        <v>59492</v>
      </c>
      <c r="AF19" t="n">
        <v>768808</v>
      </c>
      <c r="AG19">
        <f>IFERROR(AF19/AE19,"")</f>
        <v/>
      </c>
      <c r="AH19" t="n">
        <v>158005</v>
      </c>
      <c r="AI19" t="n">
        <v>61957</v>
      </c>
      <c r="AJ19" t="n">
        <v>26922</v>
      </c>
      <c r="AK19">
        <f>IFERROR(AI19/AH19,"")</f>
        <v/>
      </c>
      <c r="AL19">
        <f>IFERROR(AJ19/AH19,"")</f>
        <v/>
      </c>
    </row>
    <row r="20">
      <c r="A20" t="inlineStr">
        <is>
          <t>W4</t>
        </is>
      </c>
      <c r="B20" t="inlineStr">
        <is>
          <t>22/07</t>
        </is>
      </c>
      <c r="C20" t="inlineStr">
        <is>
          <t>TikTok + FB</t>
        </is>
      </c>
      <c r="D20" t="inlineStr">
        <is>
          <t>Brand</t>
        </is>
      </c>
      <c r="E20" t="inlineStr">
        <is>
          <t>Video 9:16</t>
        </is>
      </c>
      <c r="F20" t="inlineStr">
        <is>
          <t>Cách chụp đêm đẹp bằng iPhone #14</t>
        </is>
      </c>
      <c r="G20" t="inlineStr">
        <is>
          <t>T7 - BAU</t>
        </is>
      </c>
      <c r="H20" t="inlineStr">
        <is>
          <t>Đã air</t>
        </is>
      </c>
      <c r="J20" t="inlineStr">
        <is>
          <t>https://www.tiktok.com/@topzone.official/video/7540000000110871134</t>
        </is>
      </c>
      <c r="K20" s="4" t="n">
        <v>46225</v>
      </c>
      <c r="L20" t="inlineStr">
        <is>
          <t>https://www.facebook.com/100064123456789/posts/1200000001466206</t>
        </is>
      </c>
      <c r="M20" t="inlineStr">
        <is>
          <t>Hưng</t>
        </is>
      </c>
      <c r="N20" t="inlineStr">
        <is>
          <t>Upgrade / Hướng dẫn (talking-head)</t>
        </is>
      </c>
      <c r="O20" t="n">
        <v>30</v>
      </c>
      <c r="P20" t="n">
        <v>81717</v>
      </c>
      <c r="Q20" t="n">
        <v>1792</v>
      </c>
      <c r="R20" t="n">
        <v>216</v>
      </c>
      <c r="S20" t="n">
        <v>56624</v>
      </c>
      <c r="T20" t="n">
        <v>200569</v>
      </c>
      <c r="U20" t="n">
        <v>9.300000000000001</v>
      </c>
      <c r="V20" t="inlineStr">
        <is>
          <t>Có</t>
        </is>
      </c>
      <c r="W20">
        <f>IFERROR(P20+S20+N(Y20),"")</f>
        <v/>
      </c>
      <c r="Z20">
        <f>IFERROR((Q20+R20)/P20,"")</f>
        <v/>
      </c>
      <c r="AA20">
        <f>IFERROR(S20/T20,"")</f>
        <v/>
      </c>
      <c r="AB20" t="inlineStr">
        <is>
          <t>TZ_2026-07_BAU</t>
        </is>
      </c>
      <c r="AC20" t="n">
        <v>1855340</v>
      </c>
      <c r="AD20">
        <f>IFERROR(AC20/P20,"")</f>
        <v/>
      </c>
      <c r="AE20" t="n">
        <v>40050</v>
      </c>
      <c r="AF20" t="n">
        <v>630267</v>
      </c>
      <c r="AG20">
        <f>IFERROR(AF20/AE20,"")</f>
        <v/>
      </c>
      <c r="AH20" t="n">
        <v>91782</v>
      </c>
      <c r="AI20" t="n">
        <v>32785</v>
      </c>
      <c r="AJ20" t="n">
        <v>21745</v>
      </c>
      <c r="AK20">
        <f>IFERROR(AI20/AH20,"")</f>
        <v/>
      </c>
      <c r="AL20">
        <f>IFERROR(AJ20/AH20,"")</f>
        <v/>
      </c>
    </row>
    <row r="21">
      <c r="A21" t="inlineStr">
        <is>
          <t>W3</t>
        </is>
      </c>
      <c r="B21" t="inlineStr">
        <is>
          <t>18/07</t>
        </is>
      </c>
      <c r="C21" t="inlineStr">
        <is>
          <t>TikTok + FB</t>
        </is>
      </c>
      <c r="D21" t="inlineStr">
        <is>
          <t>Brand</t>
        </is>
      </c>
      <c r="E21" t="inlineStr">
        <is>
          <t>Video 9:16</t>
        </is>
      </c>
      <c r="F21" t="inlineStr">
        <is>
          <t>Workshop chụp ảnh iPhone #15</t>
        </is>
      </c>
      <c r="G21" t="inlineStr">
        <is>
          <t>T7 - BAU</t>
        </is>
      </c>
      <c r="H21" t="inlineStr">
        <is>
          <t>Đã air</t>
        </is>
      </c>
      <c r="J21" t="inlineStr">
        <is>
          <t>https://www.tiktok.com/@topzone.official/video/7540000000118790220</t>
        </is>
      </c>
      <c r="K21" s="4" t="n">
        <v>46221</v>
      </c>
      <c r="L21" t="inlineStr">
        <is>
          <t>https://www.facebook.com/topzone.vn/videos/1200000001570935/</t>
        </is>
      </c>
      <c r="M21" t="inlineStr">
        <is>
          <t>Hưng</t>
        </is>
      </c>
      <c r="N21" t="inlineStr">
        <is>
          <t>Workshop / Cộng đồng</t>
        </is>
      </c>
      <c r="O21" t="n">
        <v>44</v>
      </c>
      <c r="P21" t="n">
        <v>269970</v>
      </c>
      <c r="Q21" t="n">
        <v>8297</v>
      </c>
      <c r="R21" t="n">
        <v>1559</v>
      </c>
      <c r="S21" t="n">
        <v>186506</v>
      </c>
      <c r="T21" t="n">
        <v>466386</v>
      </c>
      <c r="U21" t="n">
        <v>9.199999999999999</v>
      </c>
      <c r="V21" t="inlineStr">
        <is>
          <t>Có</t>
        </is>
      </c>
      <c r="W21">
        <f>IFERROR(P21+S21+N(Y21),"")</f>
        <v/>
      </c>
      <c r="Z21">
        <f>IFERROR((Q21+R21)/P21,"")</f>
        <v/>
      </c>
      <c r="AA21">
        <f>IFERROR(S21/T21,"")</f>
        <v/>
      </c>
      <c r="AB21" t="inlineStr">
        <is>
          <t>TZ_2026-07_BAU</t>
        </is>
      </c>
      <c r="AC21" t="n">
        <v>4376787</v>
      </c>
      <c r="AD21">
        <f>IFERROR(AC21/P21,"")</f>
        <v/>
      </c>
      <c r="AE21" t="n">
        <v>142569</v>
      </c>
      <c r="AF21" t="n">
        <v>1380881</v>
      </c>
      <c r="AG21">
        <f>IFERROR(AF21/AE21,"")</f>
        <v/>
      </c>
      <c r="AH21" t="n">
        <v>347438</v>
      </c>
      <c r="AI21" t="n">
        <v>172785</v>
      </c>
      <c r="AJ21" t="n">
        <v>87261</v>
      </c>
      <c r="AK21">
        <f>IFERROR(AI21/AH21,"")</f>
        <v/>
      </c>
      <c r="AL21">
        <f>IFERROR(AJ21/AH21,"")</f>
        <v/>
      </c>
    </row>
    <row r="22">
      <c r="A22" t="inlineStr">
        <is>
          <t>W5</t>
        </is>
      </c>
      <c r="B22" t="inlineStr">
        <is>
          <t>30/07</t>
        </is>
      </c>
      <c r="C22" t="inlineStr">
        <is>
          <t>TikTok + FB</t>
        </is>
      </c>
      <c r="D22" t="inlineStr">
        <is>
          <t>Brand</t>
        </is>
      </c>
      <c r="E22" t="inlineStr">
        <is>
          <t>Video 9:16</t>
        </is>
      </c>
      <c r="F22" t="inlineStr">
        <is>
          <t>Cách chụp đêm đẹp bằng iPhone #16</t>
        </is>
      </c>
      <c r="G22" t="inlineStr">
        <is>
          <t>T7 - BAU</t>
        </is>
      </c>
      <c r="H22" t="inlineStr">
        <is>
          <t>Đã air</t>
        </is>
      </c>
      <c r="J22" t="inlineStr">
        <is>
          <t>https://www.tiktok.com/@topzone.official/video/7540000000126710048</t>
        </is>
      </c>
      <c r="K22" s="4" t="n">
        <v>46233</v>
      </c>
      <c r="L22" t="inlineStr">
        <is>
          <t>https://www.facebook.com/reel/1200000001675664</t>
        </is>
      </c>
      <c r="M22" t="inlineStr">
        <is>
          <t>Vy</t>
        </is>
      </c>
      <c r="N22" t="inlineStr">
        <is>
          <t>Upgrade / Hướng dẫn (talking-head)</t>
        </is>
      </c>
      <c r="O22" t="n">
        <v>55</v>
      </c>
      <c r="P22" t="n">
        <v>151365</v>
      </c>
      <c r="Q22" t="n">
        <v>2825</v>
      </c>
      <c r="R22" t="n">
        <v>693</v>
      </c>
      <c r="S22" t="n">
        <v>99183</v>
      </c>
      <c r="T22" t="n">
        <v>235187</v>
      </c>
      <c r="U22" t="n">
        <v>10.4</v>
      </c>
      <c r="V22" t="inlineStr">
        <is>
          <t>Có</t>
        </is>
      </c>
      <c r="W22">
        <f>IFERROR(P22+S22+N(Y22),"")</f>
        <v/>
      </c>
      <c r="Z22">
        <f>IFERROR((Q22+R22)/P22,"")</f>
        <v/>
      </c>
      <c r="AA22">
        <f>IFERROR(S22/T22,"")</f>
        <v/>
      </c>
      <c r="AB22" t="inlineStr">
        <is>
          <t>TZ_2026-07_BAU</t>
        </is>
      </c>
      <c r="AC22" t="n">
        <v>2289593</v>
      </c>
      <c r="AD22">
        <f>IFERROR(AC22/P22,"")</f>
        <v/>
      </c>
      <c r="AE22" t="n">
        <v>56224</v>
      </c>
      <c r="AF22" t="n">
        <v>942485</v>
      </c>
      <c r="AG22">
        <f>IFERROR(AF22/AE22,"")</f>
        <v/>
      </c>
      <c r="AH22" t="n">
        <v>149887</v>
      </c>
      <c r="AI22" t="n">
        <v>64405</v>
      </c>
      <c r="AJ22" t="n">
        <v>39032</v>
      </c>
      <c r="AK22">
        <f>IFERROR(AI22/AH22,"")</f>
        <v/>
      </c>
      <c r="AL22">
        <f>IFERROR(AJ22/AH22,"")</f>
        <v/>
      </c>
    </row>
    <row r="23">
      <c r="A23" t="inlineStr">
        <is>
          <t>W1</t>
        </is>
      </c>
      <c r="B23" t="inlineStr">
        <is>
          <t>03/07</t>
        </is>
      </c>
      <c r="C23" t="inlineStr">
        <is>
          <t>TikTok + FB</t>
        </is>
      </c>
      <c r="D23" t="inlineStr">
        <is>
          <t>Sales</t>
        </is>
      </c>
      <c r="E23" t="inlineStr">
        <is>
          <t>Video 9:16</t>
        </is>
      </c>
      <c r="F23" t="inlineStr">
        <is>
          <t>Apple Watch giá tốt nhất tháng #17</t>
        </is>
      </c>
      <c r="G23" t="inlineStr">
        <is>
          <t>T7 - BAU</t>
        </is>
      </c>
      <c r="H23" t="inlineStr">
        <is>
          <t>Đã air</t>
        </is>
      </c>
      <c r="J23" t="inlineStr">
        <is>
          <t>https://www.tiktok.com/@topzone.official/video/7540000000134629490</t>
        </is>
      </c>
      <c r="K23" s="4" t="n">
        <v>46206</v>
      </c>
      <c r="L23" t="inlineStr">
        <is>
          <t>https://www.facebook.com/100064123456789/posts/1200000001780393</t>
        </is>
      </c>
      <c r="M23" t="inlineStr">
        <is>
          <t>Hưng</t>
        </is>
      </c>
      <c r="N23" t="inlineStr">
        <is>
          <t>Promotion / Giá - trả chậm</t>
        </is>
      </c>
      <c r="O23" t="n">
        <v>36</v>
      </c>
      <c r="P23" t="n">
        <v>175426</v>
      </c>
      <c r="Q23" t="n">
        <v>3844</v>
      </c>
      <c r="R23" t="n">
        <v>358</v>
      </c>
      <c r="S23" t="n">
        <v>88080</v>
      </c>
      <c r="T23" t="n">
        <v>222587</v>
      </c>
      <c r="U23" t="n">
        <v>7.1</v>
      </c>
      <c r="V23" t="inlineStr">
        <is>
          <t>Có</t>
        </is>
      </c>
      <c r="W23">
        <f>IFERROR(P23+S23+N(Y23),"")</f>
        <v/>
      </c>
      <c r="Z23">
        <f>IFERROR((Q23+R23)/P23,"")</f>
        <v/>
      </c>
      <c r="AA23">
        <f>IFERROR(S23/T23,"")</f>
        <v/>
      </c>
      <c r="AB23" t="inlineStr">
        <is>
          <t>TZ_2026-07_BAU</t>
        </is>
      </c>
      <c r="AC23" t="n">
        <v>2517547</v>
      </c>
      <c r="AD23">
        <f>IFERROR(AC23/P23,"")</f>
        <v/>
      </c>
      <c r="AE23" t="n">
        <v>49062</v>
      </c>
      <c r="AF23" t="n">
        <v>583967</v>
      </c>
      <c r="AG23">
        <f>IFERROR(AF23/AE23,"")</f>
        <v/>
      </c>
      <c r="AH23" t="n">
        <v>137126</v>
      </c>
      <c r="AI23" t="n">
        <v>59953</v>
      </c>
      <c r="AJ23" t="n">
        <v>27394</v>
      </c>
      <c r="AK23">
        <f>IFERROR(AI23/AH23,"")</f>
        <v/>
      </c>
      <c r="AL23">
        <f>IFERROR(AJ23/AH23,"")</f>
        <v/>
      </c>
    </row>
    <row r="24">
      <c r="A24" t="inlineStr">
        <is>
          <t>W4</t>
        </is>
      </c>
      <c r="B24" t="inlineStr">
        <is>
          <t>26/07</t>
        </is>
      </c>
      <c r="C24" t="inlineStr">
        <is>
          <t>TikTok + FB</t>
        </is>
      </c>
      <c r="D24" t="inlineStr">
        <is>
          <t>Brand</t>
        </is>
      </c>
      <c r="E24" t="inlineStr">
        <is>
          <t>Video 9:16</t>
        </is>
      </c>
      <c r="F24" t="inlineStr">
        <is>
          <t>Workshop chụp ảnh iPhone #18</t>
        </is>
      </c>
      <c r="G24" t="inlineStr">
        <is>
          <t>T7 - BAU</t>
        </is>
      </c>
      <c r="H24" t="inlineStr">
        <is>
          <t>Đã air</t>
        </is>
      </c>
      <c r="J24" t="inlineStr">
        <is>
          <t>https://www.tiktok.com/@topzone.official/video/7540000000142548717</t>
        </is>
      </c>
      <c r="K24" s="4" t="n">
        <v>46229</v>
      </c>
      <c r="L24" t="inlineStr">
        <is>
          <t>https://www.facebook.com/topzone.vn/videos/1200000001885122/</t>
        </is>
      </c>
      <c r="M24" t="inlineStr">
        <is>
          <t>Vy</t>
        </is>
      </c>
      <c r="N24" t="inlineStr">
        <is>
          <t>Workshop / Cộng đồng</t>
        </is>
      </c>
      <c r="O24" t="n">
        <v>37</v>
      </c>
      <c r="P24" t="n">
        <v>67271</v>
      </c>
      <c r="Q24" t="n">
        <v>1893</v>
      </c>
      <c r="R24" t="n">
        <v>245</v>
      </c>
      <c r="S24" t="n">
        <v>45224</v>
      </c>
      <c r="T24" t="n">
        <v>120716</v>
      </c>
      <c r="U24" t="n">
        <v>7.6</v>
      </c>
      <c r="V24" t="inlineStr">
        <is>
          <t>Có</t>
        </is>
      </c>
      <c r="W24">
        <f>IFERROR(P24+S24+N(Y24),"")</f>
        <v/>
      </c>
      <c r="Z24">
        <f>IFERROR((Q24+R24)/P24,"")</f>
        <v/>
      </c>
      <c r="AA24">
        <f>IFERROR(S24/T24,"")</f>
        <v/>
      </c>
      <c r="AB24" t="inlineStr">
        <is>
          <t>TZ_2026-07_BAU</t>
        </is>
      </c>
      <c r="AC24" t="n">
        <v>900981</v>
      </c>
      <c r="AD24">
        <f>IFERROR(AC24/P24,"")</f>
        <v/>
      </c>
      <c r="AE24" t="n">
        <v>28152</v>
      </c>
      <c r="AF24" t="n">
        <v>338373</v>
      </c>
      <c r="AG24">
        <f>IFERROR(AF24/AE24,"")</f>
        <v/>
      </c>
      <c r="AH24" t="n">
        <v>78314</v>
      </c>
      <c r="AI24" t="n">
        <v>32040</v>
      </c>
      <c r="AJ24" t="n">
        <v>18115</v>
      </c>
      <c r="AK24">
        <f>IFERROR(AI24/AH24,"")</f>
        <v/>
      </c>
      <c r="AL24">
        <f>IFERROR(AJ24/AH24,"")</f>
        <v/>
      </c>
    </row>
    <row r="25">
      <c r="A25" t="inlineStr">
        <is>
          <t>W2</t>
        </is>
      </c>
      <c r="B25" t="inlineStr">
        <is>
          <t>14/07</t>
        </is>
      </c>
      <c r="C25" t="inlineStr">
        <is>
          <t>TikTok + FB</t>
        </is>
      </c>
      <c r="D25" t="inlineStr">
        <is>
          <t>Sales</t>
        </is>
      </c>
      <c r="E25" t="inlineStr">
        <is>
          <t>Video 9:16</t>
        </is>
      </c>
      <c r="F25" t="inlineStr">
        <is>
          <t>MacBook Air M4 giá sốc cuối tuần #19</t>
        </is>
      </c>
      <c r="G25" t="inlineStr">
        <is>
          <t>T7 - BAU</t>
        </is>
      </c>
      <c r="H25" t="inlineStr">
        <is>
          <t>Đã air</t>
        </is>
      </c>
      <c r="J25" t="inlineStr">
        <is>
          <t>https://www.tiktok.com/@topzone.official/video/7540000000150467871</t>
        </is>
      </c>
      <c r="K25" s="4" t="n">
        <v>46217</v>
      </c>
      <c r="L25" t="inlineStr">
        <is>
          <t>https://www.facebook.com/reel/1200000001989851</t>
        </is>
      </c>
      <c r="M25" t="inlineStr">
        <is>
          <t>Hưng</t>
        </is>
      </c>
      <c r="N25" t="inlineStr">
        <is>
          <t>Promotion / Giá - trả chậm</t>
        </is>
      </c>
      <c r="O25" t="n">
        <v>18</v>
      </c>
      <c r="P25" t="n">
        <v>200935</v>
      </c>
      <c r="Q25" t="n">
        <v>3271</v>
      </c>
      <c r="R25" t="n">
        <v>696</v>
      </c>
      <c r="S25" t="n">
        <v>116370</v>
      </c>
      <c r="T25" t="n">
        <v>339273</v>
      </c>
      <c r="U25" t="n">
        <v>7.5</v>
      </c>
      <c r="V25" t="inlineStr">
        <is>
          <t>Có</t>
        </is>
      </c>
      <c r="W25">
        <f>IFERROR(P25+S25+N(Y25),"")</f>
        <v/>
      </c>
      <c r="Z25">
        <f>IFERROR((Q25+R25)/P25,"")</f>
        <v/>
      </c>
      <c r="AA25">
        <f>IFERROR(S25/T25,"")</f>
        <v/>
      </c>
      <c r="AB25" t="inlineStr">
        <is>
          <t>TZ_2026-07_BAU</t>
        </is>
      </c>
      <c r="AC25" t="n">
        <v>2821505</v>
      </c>
      <c r="AD25">
        <f>IFERROR(AC25/P25,"")</f>
        <v/>
      </c>
      <c r="AE25" t="n">
        <v>83878</v>
      </c>
      <c r="AF25" t="n">
        <v>1026005</v>
      </c>
      <c r="AG25">
        <f>IFERROR(AF25/AE25,"")</f>
        <v/>
      </c>
      <c r="AH25" t="n">
        <v>188645</v>
      </c>
      <c r="AI25" t="n">
        <v>76732</v>
      </c>
      <c r="AJ25" t="n">
        <v>41328</v>
      </c>
      <c r="AK25">
        <f>IFERROR(AI25/AH25,"")</f>
        <v/>
      </c>
      <c r="AL25">
        <f>IFERROR(AJ25/AH25,"")</f>
        <v/>
      </c>
    </row>
    <row r="26">
      <c r="A26" t="inlineStr">
        <is>
          <t>W3</t>
        </is>
      </c>
      <c r="B26" t="inlineStr">
        <is>
          <t>20/07</t>
        </is>
      </c>
      <c r="C26" t="inlineStr">
        <is>
          <t>TikTok + FB</t>
        </is>
      </c>
      <c r="D26" t="inlineStr">
        <is>
          <t>Brand</t>
        </is>
      </c>
      <c r="E26" t="inlineStr">
        <is>
          <t>Video 9:16</t>
        </is>
      </c>
      <c r="F26" t="inlineStr">
        <is>
          <t>Ai dè mua iPhone được tặng thêm #20</t>
        </is>
      </c>
      <c r="G26" t="inlineStr">
        <is>
          <t>T7 - BAU</t>
        </is>
      </c>
      <c r="H26" t="inlineStr">
        <is>
          <t>Đã air</t>
        </is>
      </c>
      <c r="J26" t="inlineStr">
        <is>
          <t>https://www.tiktok.com/@topzone.official/video/7540000000158387389</t>
        </is>
      </c>
      <c r="K26" s="4" t="n">
        <v>46223</v>
      </c>
      <c r="L26" t="inlineStr">
        <is>
          <t>https://www.facebook.com/100064123456789/posts/1200000002094580</t>
        </is>
      </c>
      <c r="M26" t="inlineStr">
        <is>
          <t>Hưng</t>
        </is>
      </c>
      <c r="N26" t="inlineStr">
        <is>
          <t>Sketch hài - Ai Dè</t>
        </is>
      </c>
      <c r="O26" t="n">
        <v>43</v>
      </c>
      <c r="P26" t="n">
        <v>403736</v>
      </c>
      <c r="Q26" t="n">
        <v>17341</v>
      </c>
      <c r="R26" t="n">
        <v>4064</v>
      </c>
      <c r="S26" t="n">
        <v>147837</v>
      </c>
      <c r="T26" t="n">
        <v>330889</v>
      </c>
      <c r="U26" t="n">
        <v>9.699999999999999</v>
      </c>
      <c r="V26" t="inlineStr">
        <is>
          <t>Có</t>
        </is>
      </c>
      <c r="W26">
        <f>IFERROR(P26+S26+N(Y26),"")</f>
        <v/>
      </c>
      <c r="Z26">
        <f>IFERROR((Q26+R26)/P26,"")</f>
        <v/>
      </c>
      <c r="AA26">
        <f>IFERROR(S26/T26,"")</f>
        <v/>
      </c>
      <c r="AB26" t="inlineStr">
        <is>
          <t>TZ_2026-07_BAU</t>
        </is>
      </c>
      <c r="AC26" t="n">
        <v>2310412</v>
      </c>
      <c r="AD26">
        <f>IFERROR(AC26/P26,"")</f>
        <v/>
      </c>
      <c r="AE26" t="n">
        <v>105777</v>
      </c>
      <c r="AF26" t="n">
        <v>468413</v>
      </c>
      <c r="AG26">
        <f>IFERROR(AF26/AE26,"")</f>
        <v/>
      </c>
      <c r="AH26" t="n">
        <v>252156</v>
      </c>
      <c r="AI26" t="n">
        <v>108409</v>
      </c>
      <c r="AJ26" t="n">
        <v>63822</v>
      </c>
      <c r="AK26">
        <f>IFERROR(AI26/AH26,"")</f>
        <v/>
      </c>
      <c r="AL26">
        <f>IFERROR(AJ26/AH26,"")</f>
        <v/>
      </c>
    </row>
    <row r="27">
      <c r="A27" t="inlineStr">
        <is>
          <t>W4</t>
        </is>
      </c>
      <c r="B27" t="inlineStr">
        <is>
          <t>23/07</t>
        </is>
      </c>
      <c r="C27" t="inlineStr">
        <is>
          <t>TikTok + FB</t>
        </is>
      </c>
      <c r="D27" t="inlineStr">
        <is>
          <t>Brand</t>
        </is>
      </c>
      <c r="E27" t="inlineStr">
        <is>
          <t>Video 9:16</t>
        </is>
      </c>
      <c r="F27" t="inlineStr">
        <is>
          <t>Thu cũ MacBook giá cao #21</t>
        </is>
      </c>
      <c r="G27" t="inlineStr">
        <is>
          <t>T7 - BAU</t>
        </is>
      </c>
      <c r="H27" t="inlineStr">
        <is>
          <t>Đã air</t>
        </is>
      </c>
      <c r="J27" t="inlineStr">
        <is>
          <t>https://www.tiktok.com/@topzone.official/video/7540000000166306386</t>
        </is>
      </c>
      <c r="K27" s="4" t="n">
        <v>46226</v>
      </c>
      <c r="L27" t="inlineStr">
        <is>
          <t>https://www.facebook.com/topzone.vn/videos/1200000002199309/</t>
        </is>
      </c>
      <c r="M27" t="inlineStr">
        <is>
          <t>Hưng</t>
        </is>
      </c>
      <c r="N27" t="inlineStr">
        <is>
          <t>Thu cũ đổi mới &amp; Dịch vụ TopZone</t>
        </is>
      </c>
      <c r="O27" t="n">
        <v>58</v>
      </c>
      <c r="P27" t="n">
        <v>161180</v>
      </c>
      <c r="Q27" t="n">
        <v>2863</v>
      </c>
      <c r="R27" t="n">
        <v>464</v>
      </c>
      <c r="S27" t="n">
        <v>87857</v>
      </c>
      <c r="T27" t="n">
        <v>202671</v>
      </c>
      <c r="U27" t="n">
        <v>7</v>
      </c>
      <c r="V27" t="inlineStr">
        <is>
          <t>Có</t>
        </is>
      </c>
      <c r="W27">
        <f>IFERROR(P27+S27+N(Y27),"")</f>
        <v/>
      </c>
      <c r="Z27">
        <f>IFERROR((Q27+R27)/P27,"")</f>
        <v/>
      </c>
      <c r="AA27">
        <f>IFERROR(S27/T27,"")</f>
        <v/>
      </c>
      <c r="AB27" t="inlineStr">
        <is>
          <t>TZ_2026-07_BAU</t>
        </is>
      </c>
      <c r="AC27" t="n">
        <v>3383944</v>
      </c>
      <c r="AD27">
        <f>IFERROR(AC27/P27,"")</f>
        <v/>
      </c>
      <c r="AE27" t="n">
        <v>59622</v>
      </c>
      <c r="AF27" t="n">
        <v>1303188</v>
      </c>
      <c r="AG27">
        <f>IFERROR(AF27/AE27,"")</f>
        <v/>
      </c>
      <c r="AH27" t="n">
        <v>128330</v>
      </c>
      <c r="AI27" t="n">
        <v>67794</v>
      </c>
      <c r="AJ27" t="n">
        <v>26168</v>
      </c>
      <c r="AK27">
        <f>IFERROR(AI27/AH27,"")</f>
        <v/>
      </c>
      <c r="AL27">
        <f>IFERROR(AJ27/AH27,"")</f>
        <v/>
      </c>
    </row>
    <row r="28">
      <c r="A28" t="inlineStr">
        <is>
          <t>W4</t>
        </is>
      </c>
      <c r="B28" t="inlineStr">
        <is>
          <t>24/07</t>
        </is>
      </c>
      <c r="C28" t="inlineStr">
        <is>
          <t>TikTok + FB</t>
        </is>
      </c>
      <c r="D28" t="inlineStr">
        <is>
          <t>Brand</t>
        </is>
      </c>
      <c r="E28" t="inlineStr">
        <is>
          <t>Video 9:16</t>
        </is>
      </c>
      <c r="F28" t="inlineStr">
        <is>
          <t>Bảo hành 1 đổi 1 tại TopZone #22</t>
        </is>
      </c>
      <c r="G28" t="inlineStr">
        <is>
          <t>T7 - BAU</t>
        </is>
      </c>
      <c r="H28" t="inlineStr">
        <is>
          <t>Đã air</t>
        </is>
      </c>
      <c r="J28" t="inlineStr">
        <is>
          <t>https://www.tiktok.com/@topzone.official/video/7540000000174226210</t>
        </is>
      </c>
      <c r="K28" s="4" t="n">
        <v>46227</v>
      </c>
      <c r="L28" t="inlineStr">
        <is>
          <t>https://www.facebook.com/reel/1200000002304038</t>
        </is>
      </c>
      <c r="M28" t="inlineStr">
        <is>
          <t>Hưng</t>
        </is>
      </c>
      <c r="N28" t="inlineStr">
        <is>
          <t>Thu cũ đổi mới &amp; Dịch vụ TopZone</t>
        </is>
      </c>
      <c r="O28" t="n">
        <v>35</v>
      </c>
      <c r="P28" t="n">
        <v>245237</v>
      </c>
      <c r="Q28" t="n">
        <v>3897</v>
      </c>
      <c r="R28" t="n">
        <v>524</v>
      </c>
      <c r="S28" t="n">
        <v>108080</v>
      </c>
      <c r="T28" t="n">
        <v>360930</v>
      </c>
      <c r="U28" t="n">
        <v>6</v>
      </c>
      <c r="V28" t="inlineStr">
        <is>
          <t>Có</t>
        </is>
      </c>
      <c r="W28">
        <f>IFERROR(P28+S28+N(Y28),"")</f>
        <v/>
      </c>
      <c r="Z28">
        <f>IFERROR((Q28+R28)/P28,"")</f>
        <v/>
      </c>
      <c r="AA28">
        <f>IFERROR(S28/T28,"")</f>
        <v/>
      </c>
      <c r="AB28" t="inlineStr">
        <is>
          <t>TZ_2026-07_BAU</t>
        </is>
      </c>
      <c r="AC28" t="n">
        <v>4598098</v>
      </c>
      <c r="AD28">
        <f>IFERROR(AC28/P28,"")</f>
        <v/>
      </c>
      <c r="AE28" t="n">
        <v>63304</v>
      </c>
      <c r="AF28" t="n">
        <v>1060573</v>
      </c>
      <c r="AG28">
        <f>IFERROR(AF28/AE28,"")</f>
        <v/>
      </c>
      <c r="AH28" t="n">
        <v>185771</v>
      </c>
      <c r="AI28" t="n">
        <v>76898</v>
      </c>
      <c r="AJ28" t="n">
        <v>45301</v>
      </c>
      <c r="AK28">
        <f>IFERROR(AI28/AH28,"")</f>
        <v/>
      </c>
      <c r="AL28">
        <f>IFERROR(AJ28/AH28,"")</f>
        <v/>
      </c>
    </row>
    <row r="29">
      <c r="A29" t="inlineStr">
        <is>
          <t>W1</t>
        </is>
      </c>
      <c r="B29" t="inlineStr">
        <is>
          <t>05/07</t>
        </is>
      </c>
      <c r="C29" t="inlineStr">
        <is>
          <t>TikTok + FB</t>
        </is>
      </c>
      <c r="D29" t="inlineStr">
        <is>
          <t>Sales</t>
        </is>
      </c>
      <c r="E29" t="inlineStr">
        <is>
          <t>Video 9:16</t>
        </is>
      </c>
      <c r="F29" t="inlineStr">
        <is>
          <t>iPhone 16 giảm sâu trả chậm 0% #23</t>
        </is>
      </c>
      <c r="G29" t="inlineStr">
        <is>
          <t>T7 - BAU</t>
        </is>
      </c>
      <c r="H29" t="inlineStr">
        <is>
          <t>Đã air</t>
        </is>
      </c>
      <c r="J29" t="inlineStr">
        <is>
          <t>https://www.tiktok.com/@topzone.official/video/7540000000182145037</t>
        </is>
      </c>
      <c r="K29" s="4" t="n">
        <v>46208</v>
      </c>
      <c r="L29" t="inlineStr">
        <is>
          <t>https://www.facebook.com/100064123456789/posts/1200000002408767</t>
        </is>
      </c>
      <c r="M29" t="inlineStr">
        <is>
          <t>Hưng</t>
        </is>
      </c>
      <c r="N29" t="inlineStr">
        <is>
          <t>Promotion / Giá - trả chậm</t>
        </is>
      </c>
      <c r="O29" t="n">
        <v>33</v>
      </c>
      <c r="P29" t="n">
        <v>207290</v>
      </c>
      <c r="Q29" t="n">
        <v>4227</v>
      </c>
      <c r="R29" t="n">
        <v>706</v>
      </c>
      <c r="S29" t="n">
        <v>103033</v>
      </c>
      <c r="T29" t="n">
        <v>239073</v>
      </c>
      <c r="U29" t="n">
        <v>6</v>
      </c>
      <c r="V29" t="inlineStr">
        <is>
          <t>Có</t>
        </is>
      </c>
      <c r="W29">
        <f>IFERROR(P29+S29+N(Y29),"")</f>
        <v/>
      </c>
      <c r="Z29">
        <f>IFERROR((Q29+R29)/P29,"")</f>
        <v/>
      </c>
      <c r="AA29">
        <f>IFERROR(S29/T29,"")</f>
        <v/>
      </c>
      <c r="AB29" t="inlineStr">
        <is>
          <t>TZ_2026-07_BAU</t>
        </is>
      </c>
      <c r="AC29" t="n">
        <v>2065597</v>
      </c>
      <c r="AD29">
        <f>IFERROR(AC29/P29,"")</f>
        <v/>
      </c>
      <c r="AE29" t="n">
        <v>51698</v>
      </c>
      <c r="AF29" t="n">
        <v>559526</v>
      </c>
      <c r="AG29">
        <f>IFERROR(AF29/AE29,"")</f>
        <v/>
      </c>
      <c r="AH29" t="n">
        <v>174335</v>
      </c>
      <c r="AI29" t="n">
        <v>87288</v>
      </c>
      <c r="AJ29" t="n">
        <v>40533</v>
      </c>
      <c r="AK29">
        <f>IFERROR(AI29/AH29,"")</f>
        <v/>
      </c>
      <c r="AL29">
        <f>IFERROR(AJ29/AH29,"")</f>
        <v/>
      </c>
    </row>
    <row r="30">
      <c r="A30" t="inlineStr">
        <is>
          <t>W5</t>
        </is>
      </c>
      <c r="B30" t="inlineStr">
        <is>
          <t>31/07</t>
        </is>
      </c>
      <c r="C30" t="inlineStr">
        <is>
          <t>TikTok + FB</t>
        </is>
      </c>
      <c r="D30" t="inlineStr">
        <is>
          <t>Sales</t>
        </is>
      </c>
      <c r="E30" t="inlineStr">
        <is>
          <t>Video 9:16</t>
        </is>
      </c>
      <c r="F30" t="inlineStr">
        <is>
          <t>AirPods Pro 3 giảm thêm 500K #24</t>
        </is>
      </c>
      <c r="G30" t="inlineStr">
        <is>
          <t>T7 - BAU</t>
        </is>
      </c>
      <c r="H30" t="inlineStr">
        <is>
          <t>Đã air</t>
        </is>
      </c>
      <c r="J30" t="inlineStr">
        <is>
          <t>https://www.tiktok.com/@topzone.official/video/7540000000190064696</t>
        </is>
      </c>
      <c r="K30" s="4" t="n">
        <v>46234</v>
      </c>
      <c r="L30" t="inlineStr">
        <is>
          <t>https://www.facebook.com/topzone.vn/videos/1200000002513496/</t>
        </is>
      </c>
      <c r="M30" t="inlineStr">
        <is>
          <t>Hưng</t>
        </is>
      </c>
      <c r="N30" t="inlineStr">
        <is>
          <t>Promotion / Giá - trả chậm</t>
        </is>
      </c>
      <c r="O30" t="n">
        <v>36</v>
      </c>
      <c r="P30" t="n">
        <v>163025</v>
      </c>
      <c r="Q30" t="n">
        <v>3067</v>
      </c>
      <c r="R30" t="n">
        <v>581</v>
      </c>
      <c r="S30" t="n">
        <v>81927</v>
      </c>
      <c r="T30" t="n">
        <v>320271</v>
      </c>
      <c r="U30" t="n">
        <v>7.2</v>
      </c>
      <c r="V30" t="inlineStr">
        <is>
          <t>Có</t>
        </is>
      </c>
      <c r="W30">
        <f>IFERROR(P30+S30+N(Y30),"")</f>
        <v/>
      </c>
      <c r="Z30">
        <f>IFERROR((Q30+R30)/P30,"")</f>
        <v/>
      </c>
      <c r="AA30">
        <f>IFERROR(S30/T30,"")</f>
        <v/>
      </c>
      <c r="AB30" t="inlineStr">
        <is>
          <t>TZ_2026-07_BAU</t>
        </is>
      </c>
      <c r="AC30" t="n">
        <v>2962380</v>
      </c>
      <c r="AD30">
        <f>IFERROR(AC30/P30,"")</f>
        <v/>
      </c>
      <c r="AE30" t="n">
        <v>65067</v>
      </c>
      <c r="AF30" t="n">
        <v>884619</v>
      </c>
      <c r="AG30">
        <f>IFERROR(AF30/AE30,"")</f>
        <v/>
      </c>
      <c r="AH30" t="n">
        <v>128466</v>
      </c>
      <c r="AI30" t="n">
        <v>68265</v>
      </c>
      <c r="AJ30" t="n">
        <v>26397</v>
      </c>
      <c r="AK30">
        <f>IFERROR(AI30/AH30,"")</f>
        <v/>
      </c>
      <c r="AL30">
        <f>IFERROR(AJ30/AH30,"")</f>
        <v/>
      </c>
    </row>
    <row r="31">
      <c r="A31" t="inlineStr">
        <is>
          <t>W4</t>
        </is>
      </c>
      <c r="B31" t="inlineStr">
        <is>
          <t>22/07</t>
        </is>
      </c>
      <c r="C31" t="inlineStr">
        <is>
          <t>TikTok + FB</t>
        </is>
      </c>
      <c r="D31" t="inlineStr">
        <is>
          <t>Brand</t>
        </is>
      </c>
      <c r="E31" t="inlineStr">
        <is>
          <t>Video 9:16</t>
        </is>
      </c>
      <c r="F31" t="inlineStr">
        <is>
          <t>Không khí đêm mở bán #25</t>
        </is>
      </c>
      <c r="G31" t="inlineStr">
        <is>
          <t>T7 - BAU</t>
        </is>
      </c>
      <c r="H31" t="inlineStr">
        <is>
          <t>Đã air</t>
        </is>
      </c>
      <c r="J31" t="inlineStr">
        <is>
          <t>https://www.tiktok.com/@topzone.official/video/7540000000197983326</t>
        </is>
      </c>
      <c r="K31" s="4" t="n">
        <v>46225</v>
      </c>
      <c r="L31" t="inlineStr">
        <is>
          <t>https://www.facebook.com/reel/1200000002618225</t>
        </is>
      </c>
      <c r="M31" t="inlineStr">
        <is>
          <t>Hưng</t>
        </is>
      </c>
      <c r="N31" t="inlineStr">
        <is>
          <t>Mở bán / Sự kiện / Social proof</t>
        </is>
      </c>
      <c r="O31" t="n">
        <v>47</v>
      </c>
      <c r="P31" t="n">
        <v>384491</v>
      </c>
      <c r="Q31" t="n">
        <v>10152</v>
      </c>
      <c r="R31" t="n">
        <v>1516</v>
      </c>
      <c r="S31" t="n">
        <v>252946</v>
      </c>
      <c r="T31" t="n">
        <v>827563</v>
      </c>
      <c r="U31" t="n">
        <v>5.1</v>
      </c>
      <c r="V31" t="inlineStr">
        <is>
          <t>Có</t>
        </is>
      </c>
      <c r="W31">
        <f>IFERROR(P31+S31+N(Y31),"")</f>
        <v/>
      </c>
      <c r="Z31">
        <f>IFERROR((Q31+R31)/P31,"")</f>
        <v/>
      </c>
      <c r="AA31">
        <f>IFERROR(S31/T31,"")</f>
        <v/>
      </c>
      <c r="AB31" t="inlineStr">
        <is>
          <t>TZ_2026-07_BAU</t>
        </is>
      </c>
      <c r="AC31" t="n">
        <v>3212562</v>
      </c>
      <c r="AD31">
        <f>IFERROR(AC31/P31,"")</f>
        <v/>
      </c>
      <c r="AE31" t="n">
        <v>167406</v>
      </c>
      <c r="AF31" t="n">
        <v>1521635</v>
      </c>
      <c r="AG31">
        <f>IFERROR(AF31/AE31,"")</f>
        <v/>
      </c>
      <c r="AH31" t="n">
        <v>474426</v>
      </c>
      <c r="AI31" t="n">
        <v>199255</v>
      </c>
      <c r="AJ31" t="n">
        <v>109881</v>
      </c>
      <c r="AK31">
        <f>IFERROR(AI31/AH31,"")</f>
        <v/>
      </c>
      <c r="AL31">
        <f>IFERROR(AJ31/AH31,"")</f>
        <v/>
      </c>
    </row>
    <row r="32">
      <c r="A32" s="3" t="inlineStr">
        <is>
          <t>AUGUST 2026 - BAU + Before Announce · 26 video</t>
        </is>
      </c>
    </row>
    <row r="33">
      <c r="A33" t="inlineStr">
        <is>
          <t>W1</t>
        </is>
      </c>
      <c r="B33" t="inlineStr">
        <is>
          <t>07/08</t>
        </is>
      </c>
      <c r="C33" t="inlineStr">
        <is>
          <t>TikTok + FB</t>
        </is>
      </c>
      <c r="D33" t="inlineStr">
        <is>
          <t>Sales</t>
        </is>
      </c>
      <c r="E33" t="inlineStr">
        <is>
          <t>Video 9:16</t>
        </is>
      </c>
      <c r="F33" t="inlineStr">
        <is>
          <t>iPhone 16 giảm sâu trả chậm 0% #26</t>
        </is>
      </c>
      <c r="G33" t="inlineStr">
        <is>
          <t>T8 - BAU</t>
        </is>
      </c>
      <c r="H33" t="inlineStr">
        <is>
          <t>Đã air</t>
        </is>
      </c>
      <c r="J33" t="inlineStr">
        <is>
          <t>https://www.tiktok.com/@topzone.official/video/7540000000205902983</t>
        </is>
      </c>
      <c r="K33" s="4" t="n">
        <v>46241</v>
      </c>
      <c r="L33" t="inlineStr">
        <is>
          <t>https://www.facebook.com/100064123456789/posts/1200000002722954</t>
        </is>
      </c>
      <c r="M33" t="inlineStr">
        <is>
          <t>Hưng</t>
        </is>
      </c>
      <c r="N33" t="inlineStr">
        <is>
          <t>Promotion / Giá - trả chậm</t>
        </is>
      </c>
      <c r="O33" t="n">
        <v>28</v>
      </c>
      <c r="P33" t="n">
        <v>302959</v>
      </c>
      <c r="Q33" t="n">
        <v>6439</v>
      </c>
      <c r="R33" t="n">
        <v>911</v>
      </c>
      <c r="S33" t="n">
        <v>192910</v>
      </c>
      <c r="T33" t="n">
        <v>435517</v>
      </c>
      <c r="U33" t="n">
        <v>7.7</v>
      </c>
      <c r="V33" t="inlineStr">
        <is>
          <t>Có</t>
        </is>
      </c>
      <c r="W33">
        <f>IFERROR(P33+S33+N(Y33),"")</f>
        <v/>
      </c>
      <c r="Z33">
        <f>IFERROR((Q33+R33)/P33,"")</f>
        <v/>
      </c>
      <c r="AA33">
        <f>IFERROR(S33/T33,"")</f>
        <v/>
      </c>
      <c r="AB33" t="inlineStr">
        <is>
          <t>TZ_2026-08_BAU</t>
        </is>
      </c>
      <c r="AC33" t="n">
        <v>3404751</v>
      </c>
      <c r="AD33">
        <f>IFERROR(AC33/P33,"")</f>
        <v/>
      </c>
      <c r="AE33" t="n">
        <v>118175</v>
      </c>
      <c r="AF33" t="n">
        <v>1526689</v>
      </c>
      <c r="AG33">
        <f>IFERROR(AF33/AE33,"")</f>
        <v/>
      </c>
      <c r="AH33" t="n">
        <v>280500</v>
      </c>
      <c r="AI33" t="n">
        <v>109301</v>
      </c>
      <c r="AJ33" t="n">
        <v>62119</v>
      </c>
      <c r="AK33">
        <f>IFERROR(AI33/AH33,"")</f>
        <v/>
      </c>
      <c r="AL33">
        <f>IFERROR(AJ33/AH33,"")</f>
        <v/>
      </c>
    </row>
    <row r="34">
      <c r="A34" t="inlineStr">
        <is>
          <t>W2</t>
        </is>
      </c>
      <c r="B34" t="inlineStr">
        <is>
          <t>08/08</t>
        </is>
      </c>
      <c r="C34" t="inlineStr">
        <is>
          <t>TikTok + FB</t>
        </is>
      </c>
      <c r="D34" t="inlineStr">
        <is>
          <t>Brand</t>
        </is>
      </c>
      <c r="E34" t="inlineStr">
        <is>
          <t>Video 9:16</t>
        </is>
      </c>
      <c r="F34" t="inlineStr">
        <is>
          <t>Lên đời iPhone trợ giá 2 triệu #27</t>
        </is>
      </c>
      <c r="G34" t="inlineStr">
        <is>
          <t>T8 - BAU</t>
        </is>
      </c>
      <c r="H34" t="inlineStr">
        <is>
          <t>Đã air</t>
        </is>
      </c>
      <c r="J34" t="inlineStr">
        <is>
          <t>https://www.tiktok.com/@topzone.official/video/7540000000213822060</t>
        </is>
      </c>
      <c r="K34" s="4" t="n">
        <v>46242</v>
      </c>
      <c r="L34" t="inlineStr">
        <is>
          <t>https://www.facebook.com/topzone.vn/videos/1200000002827683/</t>
        </is>
      </c>
      <c r="M34" t="inlineStr">
        <is>
          <t>Vy</t>
        </is>
      </c>
      <c r="N34" t="inlineStr">
        <is>
          <t>Thu cũ đổi mới &amp; Dịch vụ TopZone</t>
        </is>
      </c>
      <c r="O34" t="n">
        <v>54</v>
      </c>
      <c r="P34" t="n">
        <v>59967</v>
      </c>
      <c r="Q34" t="n">
        <v>1096</v>
      </c>
      <c r="R34" t="n">
        <v>190</v>
      </c>
      <c r="S34" t="n">
        <v>34872</v>
      </c>
      <c r="T34" t="n">
        <v>132195</v>
      </c>
      <c r="U34" t="n">
        <v>5.1</v>
      </c>
      <c r="V34" t="inlineStr">
        <is>
          <t>Có</t>
        </is>
      </c>
      <c r="W34">
        <f>IFERROR(P34+S34+N(Y34),"")</f>
        <v/>
      </c>
      <c r="Z34">
        <f>IFERROR((Q34+R34)/P34,"")</f>
        <v/>
      </c>
      <c r="AA34">
        <f>IFERROR(S34/T34,"")</f>
        <v/>
      </c>
      <c r="AB34" t="inlineStr">
        <is>
          <t>TZ_2026-08_BAU</t>
        </is>
      </c>
      <c r="AC34" t="n">
        <v>1584989</v>
      </c>
      <c r="AD34">
        <f>IFERROR(AC34/P34,"")</f>
        <v/>
      </c>
      <c r="AE34" t="n">
        <v>27487</v>
      </c>
      <c r="AF34" t="n">
        <v>572938</v>
      </c>
      <c r="AG34">
        <f>IFERROR(AF34/AE34,"")</f>
        <v/>
      </c>
      <c r="AH34" t="n">
        <v>60111</v>
      </c>
      <c r="AI34" t="n">
        <v>31001</v>
      </c>
      <c r="AJ34" t="n">
        <v>13128</v>
      </c>
      <c r="AK34">
        <f>IFERROR(AI34/AH34,"")</f>
        <v/>
      </c>
      <c r="AL34">
        <f>IFERROR(AJ34/AH34,"")</f>
        <v/>
      </c>
    </row>
    <row r="35">
      <c r="A35" t="inlineStr">
        <is>
          <t>W2</t>
        </is>
      </c>
      <c r="B35" t="inlineStr">
        <is>
          <t>14/08</t>
        </is>
      </c>
      <c r="C35" t="inlineStr">
        <is>
          <t>TikTok + FB</t>
        </is>
      </c>
      <c r="D35" t="inlineStr">
        <is>
          <t>Brand</t>
        </is>
      </c>
      <c r="E35" t="inlineStr">
        <is>
          <t>Video 9:16</t>
        </is>
      </c>
      <c r="F35" t="inlineStr">
        <is>
          <t>Có nên lên iPhone 17 Pro? #28</t>
        </is>
      </c>
      <c r="G35" t="inlineStr">
        <is>
          <t>T8 - BAU</t>
        </is>
      </c>
      <c r="H35" t="inlineStr">
        <is>
          <t>Đã air</t>
        </is>
      </c>
      <c r="J35" t="inlineStr">
        <is>
          <t>https://www.tiktok.com/@topzone.official/video/7540000000221741934</t>
        </is>
      </c>
      <c r="K35" s="4" t="n">
        <v>46248</v>
      </c>
      <c r="L35" t="inlineStr">
        <is>
          <t>https://www.facebook.com/reel/1200000002932412</t>
        </is>
      </c>
      <c r="M35" t="inlineStr">
        <is>
          <t>Hưng</t>
        </is>
      </c>
      <c r="N35" t="inlineStr">
        <is>
          <t>Upgrade / Hướng dẫn (talking-head)</t>
        </is>
      </c>
      <c r="O35" t="n">
        <v>64</v>
      </c>
      <c r="P35" t="n">
        <v>108896</v>
      </c>
      <c r="Q35" t="n">
        <v>2843</v>
      </c>
      <c r="R35" t="n">
        <v>280</v>
      </c>
      <c r="S35" t="n">
        <v>54714</v>
      </c>
      <c r="T35" t="n">
        <v>138095</v>
      </c>
      <c r="U35" t="n">
        <v>9.6</v>
      </c>
      <c r="V35" t="inlineStr">
        <is>
          <t>Có</t>
        </is>
      </c>
      <c r="W35">
        <f>IFERROR(P35+S35+N(Y35),"")</f>
        <v/>
      </c>
      <c r="Z35">
        <f>IFERROR((Q35+R35)/P35,"")</f>
        <v/>
      </c>
      <c r="AA35">
        <f>IFERROR(S35/T35,"")</f>
        <v/>
      </c>
      <c r="AB35" t="inlineStr">
        <is>
          <t>TZ_2026-08_BAU</t>
        </is>
      </c>
      <c r="AC35" t="n">
        <v>1522823</v>
      </c>
      <c r="AD35">
        <f>IFERROR(AC35/P35,"")</f>
        <v/>
      </c>
      <c r="AE35" t="n">
        <v>31359</v>
      </c>
      <c r="AF35" t="n">
        <v>440311</v>
      </c>
      <c r="AG35">
        <f>IFERROR(AF35/AE35,"")</f>
        <v/>
      </c>
      <c r="AH35" t="n">
        <v>83942</v>
      </c>
      <c r="AI35" t="n">
        <v>39626</v>
      </c>
      <c r="AJ35" t="n">
        <v>21020</v>
      </c>
      <c r="AK35">
        <f>IFERROR(AI35/AH35,"")</f>
        <v/>
      </c>
      <c r="AL35">
        <f>IFERROR(AJ35/AH35,"")</f>
        <v/>
      </c>
    </row>
    <row r="36">
      <c r="A36" t="inlineStr">
        <is>
          <t>W1</t>
        </is>
      </c>
      <c r="B36" t="inlineStr">
        <is>
          <t>01/08</t>
        </is>
      </c>
      <c r="C36" t="inlineStr">
        <is>
          <t>TikTok + FB</t>
        </is>
      </c>
      <c r="D36" t="inlineStr">
        <is>
          <t>Brand</t>
        </is>
      </c>
      <c r="E36" t="inlineStr">
        <is>
          <t>Video 9:16</t>
        </is>
      </c>
      <c r="F36" t="inlineStr">
        <is>
          <t>Bảo hành 1 đổi 1 tại TopZone #29</t>
        </is>
      </c>
      <c r="G36" t="inlineStr">
        <is>
          <t>T8 - BAU</t>
        </is>
      </c>
      <c r="H36" t="inlineStr">
        <is>
          <t>Đã air</t>
        </is>
      </c>
      <c r="J36" t="inlineStr">
        <is>
          <t>https://www.tiktok.com/@topzone.official/video/7540000000229660863</t>
        </is>
      </c>
      <c r="K36" s="4" t="n">
        <v>46235</v>
      </c>
      <c r="L36" t="inlineStr">
        <is>
          <t>https://www.facebook.com/100064123456789/posts/1200000003037141</t>
        </is>
      </c>
      <c r="M36" t="inlineStr">
        <is>
          <t>Hưng</t>
        </is>
      </c>
      <c r="N36" t="inlineStr">
        <is>
          <t>Thu cũ đổi mới &amp; Dịch vụ TopZone</t>
        </is>
      </c>
      <c r="O36" t="n">
        <v>22</v>
      </c>
      <c r="P36" t="n">
        <v>172433</v>
      </c>
      <c r="Q36" t="n">
        <v>2485</v>
      </c>
      <c r="R36" t="n">
        <v>526</v>
      </c>
      <c r="S36" t="n">
        <v>60964</v>
      </c>
      <c r="T36" t="n">
        <v>138676</v>
      </c>
      <c r="U36" t="n">
        <v>6.9</v>
      </c>
      <c r="V36" t="inlineStr">
        <is>
          <t>Có</t>
        </is>
      </c>
      <c r="W36">
        <f>IFERROR(P36+S36+N(Y36),"")</f>
        <v/>
      </c>
      <c r="Z36">
        <f>IFERROR((Q36+R36)/P36,"")</f>
        <v/>
      </c>
      <c r="AA36">
        <f>IFERROR(S36/T36,"")</f>
        <v/>
      </c>
      <c r="AB36" t="inlineStr">
        <is>
          <t>TZ_2026-08_BAU</t>
        </is>
      </c>
      <c r="AC36" t="n">
        <v>2756109</v>
      </c>
      <c r="AD36">
        <f>IFERROR(AC36/P36,"")</f>
        <v/>
      </c>
      <c r="AE36" t="n">
        <v>42295</v>
      </c>
      <c r="AF36" t="n">
        <v>567625</v>
      </c>
      <c r="AG36">
        <f>IFERROR(AF36/AE36,"")</f>
        <v/>
      </c>
      <c r="AH36" t="n">
        <v>87959</v>
      </c>
      <c r="AI36" t="n">
        <v>44734</v>
      </c>
      <c r="AJ36" t="n">
        <v>15640</v>
      </c>
      <c r="AK36">
        <f>IFERROR(AI36/AH36,"")</f>
        <v/>
      </c>
      <c r="AL36">
        <f>IFERROR(AJ36/AH36,"")</f>
        <v/>
      </c>
    </row>
    <row r="37">
      <c r="A37" t="inlineStr">
        <is>
          <t>W2</t>
        </is>
      </c>
      <c r="B37" t="inlineStr">
        <is>
          <t>08/08</t>
        </is>
      </c>
      <c r="C37" t="inlineStr">
        <is>
          <t>TikTok + FB</t>
        </is>
      </c>
      <c r="D37" t="inlineStr">
        <is>
          <t>Brand</t>
        </is>
      </c>
      <c r="E37" t="inlineStr">
        <is>
          <t>Video 9:16</t>
        </is>
      </c>
      <c r="F37" t="inlineStr">
        <is>
          <t>Dịch vụ dán màn hình miễn phí #30</t>
        </is>
      </c>
      <c r="G37" t="inlineStr">
        <is>
          <t>T8 - BAU</t>
        </is>
      </c>
      <c r="H37" t="inlineStr">
        <is>
          <t>Đã air</t>
        </is>
      </c>
      <c r="J37" t="inlineStr">
        <is>
          <t>https://www.tiktok.com/@topzone.official/video/7540000000237580609</t>
        </is>
      </c>
      <c r="K37" s="4" t="n">
        <v>46242</v>
      </c>
      <c r="L37" t="inlineStr">
        <is>
          <t>https://www.facebook.com/topzone.vn/videos/1200000003141870/</t>
        </is>
      </c>
      <c r="M37" t="inlineStr">
        <is>
          <t>Hưng</t>
        </is>
      </c>
      <c r="N37" t="inlineStr">
        <is>
          <t>Thu cũ đổi mới &amp; Dịch vụ TopZone</t>
        </is>
      </c>
      <c r="O37" t="n">
        <v>35</v>
      </c>
      <c r="P37" t="n">
        <v>178701</v>
      </c>
      <c r="Q37" t="n">
        <v>2227</v>
      </c>
      <c r="R37" t="n">
        <v>367</v>
      </c>
      <c r="S37" t="n">
        <v>109200</v>
      </c>
      <c r="T37" t="n">
        <v>345396</v>
      </c>
      <c r="U37" t="n">
        <v>7.8</v>
      </c>
      <c r="V37" t="inlineStr">
        <is>
          <t>Có</t>
        </is>
      </c>
      <c r="W37">
        <f>IFERROR(P37+S37+N(Y37),"")</f>
        <v/>
      </c>
      <c r="Z37">
        <f>IFERROR((Q37+R37)/P37,"")</f>
        <v/>
      </c>
      <c r="AA37">
        <f>IFERROR(S37/T37,"")</f>
        <v/>
      </c>
      <c r="AB37" t="inlineStr">
        <is>
          <t>TZ_2026-08_BAU</t>
        </is>
      </c>
      <c r="AC37" t="n">
        <v>2270415</v>
      </c>
      <c r="AD37">
        <f>IFERROR(AC37/P37,"")</f>
        <v/>
      </c>
      <c r="AE37" t="n">
        <v>64937</v>
      </c>
      <c r="AF37" t="n">
        <v>902610</v>
      </c>
      <c r="AG37">
        <f>IFERROR(AF37/AE37,"")</f>
        <v/>
      </c>
      <c r="AH37" t="n">
        <v>191255</v>
      </c>
      <c r="AI37" t="n">
        <v>103311</v>
      </c>
      <c r="AJ37" t="n">
        <v>49392</v>
      </c>
      <c r="AK37">
        <f>IFERROR(AI37/AH37,"")</f>
        <v/>
      </c>
      <c r="AL37">
        <f>IFERROR(AJ37/AH37,"")</f>
        <v/>
      </c>
    </row>
    <row r="38">
      <c r="A38" t="inlineStr">
        <is>
          <t>W1</t>
        </is>
      </c>
      <c r="B38" t="inlineStr">
        <is>
          <t>07/08</t>
        </is>
      </c>
      <c r="C38" t="inlineStr">
        <is>
          <t>TikTok + FB</t>
        </is>
      </c>
      <c r="D38" t="inlineStr">
        <is>
          <t>Sales</t>
        </is>
      </c>
      <c r="E38" t="inlineStr">
        <is>
          <t>Video 9:16</t>
        </is>
      </c>
      <c r="F38" t="inlineStr">
        <is>
          <t>iPhone 16 giảm sâu trả chậm 0% #31</t>
        </is>
      </c>
      <c r="G38" t="inlineStr">
        <is>
          <t>T8 - BAU</t>
        </is>
      </c>
      <c r="H38" t="inlineStr">
        <is>
          <t>Đã air</t>
        </is>
      </c>
      <c r="J38" t="inlineStr">
        <is>
          <t>https://www.tiktok.com/@topzone.official/video/7540000000245499363</t>
        </is>
      </c>
      <c r="K38" s="4" t="n">
        <v>46241</v>
      </c>
      <c r="L38" t="inlineStr">
        <is>
          <t>https://www.facebook.com/reel/1200000003246599</t>
        </is>
      </c>
      <c r="M38" t="inlineStr">
        <is>
          <t>Vy</t>
        </is>
      </c>
      <c r="N38" t="inlineStr">
        <is>
          <t>Promotion / Giá - trả chậm</t>
        </is>
      </c>
      <c r="O38" t="n">
        <v>28</v>
      </c>
      <c r="P38" t="n">
        <v>209248</v>
      </c>
      <c r="Q38" t="n">
        <v>3512</v>
      </c>
      <c r="R38" t="n">
        <v>683</v>
      </c>
      <c r="S38" t="n">
        <v>125089</v>
      </c>
      <c r="T38" t="n">
        <v>454346</v>
      </c>
      <c r="U38" t="n">
        <v>5.6</v>
      </c>
      <c r="V38" t="inlineStr">
        <is>
          <t>Có</t>
        </is>
      </c>
      <c r="W38">
        <f>IFERROR(P38+S38+N(Y38),"")</f>
        <v/>
      </c>
      <c r="Z38">
        <f>IFERROR((Q38+R38)/P38,"")</f>
        <v/>
      </c>
      <c r="AA38">
        <f>IFERROR(S38/T38,"")</f>
        <v/>
      </c>
      <c r="AB38" t="inlineStr">
        <is>
          <t>TZ_2026-08_BAU</t>
        </is>
      </c>
      <c r="AC38" t="n">
        <v>2445335</v>
      </c>
      <c r="AD38">
        <f>IFERROR(AC38/P38,"")</f>
        <v/>
      </c>
      <c r="AE38" t="n">
        <v>95134</v>
      </c>
      <c r="AF38" t="n">
        <v>851569</v>
      </c>
      <c r="AG38">
        <f>IFERROR(AF38/AE38,"")</f>
        <v/>
      </c>
      <c r="AH38" t="n">
        <v>177971</v>
      </c>
      <c r="AI38" t="n">
        <v>93353</v>
      </c>
      <c r="AJ38" t="n">
        <v>39139</v>
      </c>
      <c r="AK38">
        <f>IFERROR(AI38/AH38,"")</f>
        <v/>
      </c>
      <c r="AL38">
        <f>IFERROR(AJ38/AH38,"")</f>
        <v/>
      </c>
    </row>
    <row r="39">
      <c r="A39" t="inlineStr">
        <is>
          <t>W3</t>
        </is>
      </c>
      <c r="B39" t="inlineStr">
        <is>
          <t>16/08</t>
        </is>
      </c>
      <c r="C39" t="inlineStr">
        <is>
          <t>TikTok + FB</t>
        </is>
      </c>
      <c r="D39" t="inlineStr">
        <is>
          <t>Sales</t>
        </is>
      </c>
      <c r="E39" t="inlineStr">
        <is>
          <t>Video 9:16</t>
        </is>
      </c>
      <c r="F39" t="inlineStr">
        <is>
          <t>iPhone 16 giảm sâu trả chậm 0% #32</t>
        </is>
      </c>
      <c r="G39" t="inlineStr">
        <is>
          <t>T8 - BAU</t>
        </is>
      </c>
      <c r="H39" t="inlineStr">
        <is>
          <t>Đã air</t>
        </is>
      </c>
      <c r="J39" t="inlineStr">
        <is>
          <t>https://www.tiktok.com/@topzone.official/video/7540000000253419580</t>
        </is>
      </c>
      <c r="K39" s="4" t="n">
        <v>46250</v>
      </c>
      <c r="L39" t="inlineStr">
        <is>
          <t>https://www.facebook.com/100064123456789/posts/1200000003351328</t>
        </is>
      </c>
      <c r="M39" t="inlineStr">
        <is>
          <t>Hưng</t>
        </is>
      </c>
      <c r="N39" t="inlineStr">
        <is>
          <t>Promotion / Giá - trả chậm</t>
        </is>
      </c>
      <c r="O39" t="n">
        <v>40</v>
      </c>
      <c r="P39" t="n">
        <v>184131</v>
      </c>
      <c r="Q39" t="n">
        <v>2210</v>
      </c>
      <c r="R39" t="n">
        <v>645</v>
      </c>
      <c r="S39" t="n">
        <v>90269</v>
      </c>
      <c r="T39" t="n">
        <v>340873</v>
      </c>
      <c r="U39" t="n">
        <v>7</v>
      </c>
      <c r="V39" t="inlineStr">
        <is>
          <t>Có</t>
        </is>
      </c>
      <c r="W39">
        <f>IFERROR(P39+S39+N(Y39),"")</f>
        <v/>
      </c>
      <c r="Z39">
        <f>IFERROR((Q39+R39)/P39,"")</f>
        <v/>
      </c>
      <c r="AA39">
        <f>IFERROR(S39/T39,"")</f>
        <v/>
      </c>
      <c r="AB39" t="inlineStr">
        <is>
          <t>TZ_2026-08_BAU</t>
        </is>
      </c>
      <c r="AC39" t="n">
        <v>2442983</v>
      </c>
      <c r="AD39">
        <f>IFERROR(AC39/P39,"")</f>
        <v/>
      </c>
      <c r="AE39" t="n">
        <v>47441</v>
      </c>
      <c r="AF39" t="n">
        <v>619202</v>
      </c>
      <c r="AG39">
        <f>IFERROR(AF39/AE39,"")</f>
        <v/>
      </c>
      <c r="AH39" t="n">
        <v>154786</v>
      </c>
      <c r="AI39" t="n">
        <v>71451</v>
      </c>
      <c r="AJ39" t="n">
        <v>28618</v>
      </c>
      <c r="AK39">
        <f>IFERROR(AI39/AH39,"")</f>
        <v/>
      </c>
      <c r="AL39">
        <f>IFERROR(AJ39/AH39,"")</f>
        <v/>
      </c>
    </row>
    <row r="40">
      <c r="A40" t="inlineStr">
        <is>
          <t>W2</t>
        </is>
      </c>
      <c r="B40" t="inlineStr">
        <is>
          <t>08/08</t>
        </is>
      </c>
      <c r="C40" t="inlineStr">
        <is>
          <t>TikTok + FB</t>
        </is>
      </c>
      <c r="D40" t="inlineStr">
        <is>
          <t>Brand</t>
        </is>
      </c>
      <c r="E40" t="inlineStr">
        <is>
          <t>Video 9:16</t>
        </is>
      </c>
      <c r="F40" t="inlineStr">
        <is>
          <t>Workshop chụp ảnh iPhone #33</t>
        </is>
      </c>
      <c r="G40" t="inlineStr">
        <is>
          <t>T8 - BAU</t>
        </is>
      </c>
      <c r="H40" t="inlineStr">
        <is>
          <t>Đã air</t>
        </is>
      </c>
      <c r="J40" t="inlineStr">
        <is>
          <t>https://www.tiktok.com/@topzone.official/video/7540000000261338525</t>
        </is>
      </c>
      <c r="K40" s="4" t="n">
        <v>46242</v>
      </c>
      <c r="L40" t="inlineStr">
        <is>
          <t>https://www.facebook.com/topzone.vn/videos/1200000003456057/</t>
        </is>
      </c>
      <c r="M40" t="inlineStr">
        <is>
          <t>Hưng, Vy</t>
        </is>
      </c>
      <c r="N40" t="inlineStr">
        <is>
          <t>Workshop / Cộng đồng</t>
        </is>
      </c>
      <c r="O40" t="n">
        <v>42</v>
      </c>
      <c r="P40" t="n">
        <v>245321</v>
      </c>
      <c r="Q40" t="n">
        <v>4912</v>
      </c>
      <c r="R40" t="n">
        <v>725</v>
      </c>
      <c r="S40" t="n">
        <v>149408</v>
      </c>
      <c r="T40" t="n">
        <v>339935</v>
      </c>
      <c r="U40" t="n">
        <v>7.5</v>
      </c>
      <c r="V40" t="inlineStr">
        <is>
          <t>Có</t>
        </is>
      </c>
      <c r="W40">
        <f>IFERROR(P40+S40+N(Y40),"")</f>
        <v/>
      </c>
      <c r="Z40">
        <f>IFERROR((Q40+R40)/P40,"")</f>
        <v/>
      </c>
      <c r="AA40">
        <f>IFERROR(S40/T40,"")</f>
        <v/>
      </c>
      <c r="AB40" t="inlineStr">
        <is>
          <t>TZ_2026-08_BAU</t>
        </is>
      </c>
      <c r="AC40" t="n">
        <v>4009001</v>
      </c>
      <c r="AD40">
        <f>IFERROR(AC40/P40,"")</f>
        <v/>
      </c>
      <c r="AE40" t="n">
        <v>99445</v>
      </c>
      <c r="AF40" t="n">
        <v>1201913</v>
      </c>
      <c r="AG40">
        <f>IFERROR(AF40/AE40,"")</f>
        <v/>
      </c>
      <c r="AH40" t="n">
        <v>224693</v>
      </c>
      <c r="AI40" t="n">
        <v>97000</v>
      </c>
      <c r="AJ40" t="n">
        <v>66352</v>
      </c>
      <c r="AK40">
        <f>IFERROR(AI40/AH40,"")</f>
        <v/>
      </c>
      <c r="AL40">
        <f>IFERROR(AJ40/AH40,"")</f>
        <v/>
      </c>
    </row>
    <row r="41">
      <c r="A41" t="inlineStr">
        <is>
          <t>W3</t>
        </is>
      </c>
      <c r="B41" t="inlineStr">
        <is>
          <t>16/08</t>
        </is>
      </c>
      <c r="C41" t="inlineStr">
        <is>
          <t>TikTok + FB</t>
        </is>
      </c>
      <c r="D41" t="inlineStr">
        <is>
          <t>Brand</t>
        </is>
      </c>
      <c r="E41" t="inlineStr">
        <is>
          <t>Video 9:16</t>
        </is>
      </c>
      <c r="F41" t="inlineStr">
        <is>
          <t>Có nên lên iPhone 17 Pro? #34</t>
        </is>
      </c>
      <c r="G41" t="inlineStr">
        <is>
          <t>T8 - BAU</t>
        </is>
      </c>
      <c r="H41" t="inlineStr">
        <is>
          <t>Đã air</t>
        </is>
      </c>
      <c r="J41" t="inlineStr">
        <is>
          <t>https://www.tiktok.com/@topzone.official/video/7540000000269257977</t>
        </is>
      </c>
      <c r="K41" s="4" t="n">
        <v>46250</v>
      </c>
      <c r="L41" t="inlineStr">
        <is>
          <t>https://www.facebook.com/reel/1200000003560786</t>
        </is>
      </c>
      <c r="M41" t="inlineStr">
        <is>
          <t>Hưng</t>
        </is>
      </c>
      <c r="N41" t="inlineStr">
        <is>
          <t>Upgrade / Hướng dẫn (talking-head)</t>
        </is>
      </c>
      <c r="O41" t="n">
        <v>36</v>
      </c>
      <c r="P41" t="n">
        <v>66786</v>
      </c>
      <c r="Q41" t="n">
        <v>1324</v>
      </c>
      <c r="R41" t="n">
        <v>255</v>
      </c>
      <c r="S41" t="n">
        <v>29559</v>
      </c>
      <c r="T41" t="n">
        <v>72404</v>
      </c>
      <c r="U41" t="n">
        <v>8.800000000000001</v>
      </c>
      <c r="V41" t="inlineStr">
        <is>
          <t>Có</t>
        </is>
      </c>
      <c r="W41">
        <f>IFERROR(P41+S41+N(Y41),"")</f>
        <v/>
      </c>
      <c r="Z41">
        <f>IFERROR((Q41+R41)/P41,"")</f>
        <v/>
      </c>
      <c r="AA41">
        <f>IFERROR(S41/T41,"")</f>
        <v/>
      </c>
      <c r="AB41" t="inlineStr">
        <is>
          <t>TZ_2026-08_BAU</t>
        </is>
      </c>
      <c r="AC41" t="n">
        <v>1134825</v>
      </c>
      <c r="AD41">
        <f>IFERROR(AC41/P41,"")</f>
        <v/>
      </c>
      <c r="AE41" t="n">
        <v>22835</v>
      </c>
      <c r="AF41" t="n">
        <v>338120</v>
      </c>
      <c r="AG41">
        <f>IFERROR(AF41/AE41,"")</f>
        <v/>
      </c>
      <c r="AH41" t="n">
        <v>50099</v>
      </c>
      <c r="AI41" t="n">
        <v>18250</v>
      </c>
      <c r="AJ41" t="n">
        <v>11422</v>
      </c>
      <c r="AK41">
        <f>IFERROR(AI41/AH41,"")</f>
        <v/>
      </c>
      <c r="AL41">
        <f>IFERROR(AJ41/AH41,"")</f>
        <v/>
      </c>
    </row>
    <row r="42">
      <c r="A42" t="inlineStr">
        <is>
          <t>W2</t>
        </is>
      </c>
      <c r="B42" t="inlineStr">
        <is>
          <t>10/08</t>
        </is>
      </c>
      <c r="C42" t="inlineStr">
        <is>
          <t>TikTok + FB</t>
        </is>
      </c>
      <c r="D42" t="inlineStr">
        <is>
          <t>Sales</t>
        </is>
      </c>
      <c r="E42" t="inlineStr">
        <is>
          <t>Video 9:16</t>
        </is>
      </c>
      <c r="F42" t="inlineStr">
        <is>
          <t>AirPods Pro 3 giảm thêm 500K #35</t>
        </is>
      </c>
      <c r="G42" t="inlineStr">
        <is>
          <t>T8 - BAU</t>
        </is>
      </c>
      <c r="H42" t="inlineStr">
        <is>
          <t>Đã air</t>
        </is>
      </c>
      <c r="J42" t="inlineStr">
        <is>
          <t>https://www.tiktok.com/@topzone.official/video/7540000000277177064</t>
        </is>
      </c>
      <c r="K42" s="4" t="n">
        <v>46244</v>
      </c>
      <c r="L42" t="inlineStr">
        <is>
          <t>https://www.facebook.com/100064123456789/posts/1200000003665515</t>
        </is>
      </c>
      <c r="M42" t="inlineStr">
        <is>
          <t>Hưng</t>
        </is>
      </c>
      <c r="N42" t="inlineStr">
        <is>
          <t>Promotion / Giá - trả chậm</t>
        </is>
      </c>
      <c r="O42" t="n">
        <v>8</v>
      </c>
      <c r="P42" t="n">
        <v>390977</v>
      </c>
      <c r="Q42" t="n">
        <v>7405</v>
      </c>
      <c r="R42" t="n">
        <v>1199</v>
      </c>
      <c r="S42" t="n">
        <v>204413</v>
      </c>
      <c r="T42" t="n">
        <v>768214</v>
      </c>
      <c r="U42" t="n">
        <v>4.7</v>
      </c>
      <c r="V42" t="inlineStr">
        <is>
          <t>Có</t>
        </is>
      </c>
      <c r="W42">
        <f>IFERROR(P42+S42+N(Y42),"")</f>
        <v/>
      </c>
      <c r="Z42">
        <f>IFERROR((Q42+R42)/P42,"")</f>
        <v/>
      </c>
      <c r="AA42">
        <f>IFERROR(S42/T42,"")</f>
        <v/>
      </c>
      <c r="AB42" t="inlineStr">
        <is>
          <t>TZ_2026-08_BAU</t>
        </is>
      </c>
      <c r="AC42" t="n">
        <v>7742021</v>
      </c>
      <c r="AD42">
        <f>IFERROR(AC42/P42,"")</f>
        <v/>
      </c>
      <c r="AE42" t="n">
        <v>116245</v>
      </c>
      <c r="AF42" t="n">
        <v>2558411</v>
      </c>
      <c r="AG42">
        <f>IFERROR(AF42/AE42,"")</f>
        <v/>
      </c>
      <c r="AH42" t="n">
        <v>290252</v>
      </c>
      <c r="AI42" t="n">
        <v>151541</v>
      </c>
      <c r="AJ42" t="n">
        <v>56479</v>
      </c>
      <c r="AK42">
        <f>IFERROR(AI42/AH42,"")</f>
        <v/>
      </c>
      <c r="AL42">
        <f>IFERROR(AJ42/AH42,"")</f>
        <v/>
      </c>
    </row>
    <row r="43">
      <c r="A43" t="inlineStr">
        <is>
          <t>W1</t>
        </is>
      </c>
      <c r="B43" t="inlineStr">
        <is>
          <t>01/08</t>
        </is>
      </c>
      <c r="C43" t="inlineStr">
        <is>
          <t>TikTok + FB</t>
        </is>
      </c>
      <c r="D43" t="inlineStr">
        <is>
          <t>Brand</t>
        </is>
      </c>
      <c r="E43" t="inlineStr">
        <is>
          <t>Video 9:16</t>
        </is>
      </c>
      <c r="F43" t="inlineStr">
        <is>
          <t>Motion giá iPad #36</t>
        </is>
      </c>
      <c r="G43" t="inlineStr">
        <is>
          <t>T8 - BAU</t>
        </is>
      </c>
      <c r="H43" t="inlineStr">
        <is>
          <t>Đã air</t>
        </is>
      </c>
      <c r="J43" t="inlineStr">
        <is>
          <t>https://www.tiktok.com/@topzone.official/video/7540000000285096583</t>
        </is>
      </c>
      <c r="K43" s="4" t="n">
        <v>46235</v>
      </c>
      <c r="L43" t="inlineStr">
        <is>
          <t>https://www.facebook.com/topzone.vn/videos/1200000003770244/</t>
        </is>
      </c>
      <c r="M43" t="inlineStr">
        <is>
          <t>Hưng</t>
        </is>
      </c>
      <c r="N43" t="inlineStr">
        <is>
          <t>Motion KV</t>
        </is>
      </c>
      <c r="O43" t="n">
        <v>8</v>
      </c>
      <c r="P43" t="n">
        <v>275734</v>
      </c>
      <c r="Q43" t="n">
        <v>2343</v>
      </c>
      <c r="R43" t="n">
        <v>530</v>
      </c>
      <c r="S43" t="n">
        <v>175087</v>
      </c>
      <c r="T43" t="n">
        <v>394507</v>
      </c>
      <c r="U43" t="n">
        <v>4.8</v>
      </c>
      <c r="V43" t="inlineStr">
        <is>
          <t>Có</t>
        </is>
      </c>
      <c r="W43">
        <f>IFERROR(P43+S43+N(Y43),"")</f>
        <v/>
      </c>
      <c r="Z43">
        <f>IFERROR((Q43+R43)/P43,"")</f>
        <v/>
      </c>
      <c r="AA43">
        <f>IFERROR(S43/T43,"")</f>
        <v/>
      </c>
      <c r="AB43" t="inlineStr">
        <is>
          <t>TZ_2026-08_BAU</t>
        </is>
      </c>
      <c r="AC43" t="n">
        <v>5382023</v>
      </c>
      <c r="AD43">
        <f>IFERROR(AC43/P43,"")</f>
        <v/>
      </c>
      <c r="AE43" t="n">
        <v>104866</v>
      </c>
      <c r="AF43" t="n">
        <v>2177948</v>
      </c>
      <c r="AG43">
        <f>IFERROR(AF43/AE43,"")</f>
        <v/>
      </c>
      <c r="AH43" t="n">
        <v>286268</v>
      </c>
      <c r="AI43" t="n">
        <v>116695</v>
      </c>
      <c r="AJ43" t="n">
        <v>47277</v>
      </c>
      <c r="AK43">
        <f>IFERROR(AI43/AH43,"")</f>
        <v/>
      </c>
      <c r="AL43">
        <f>IFERROR(AJ43/AH43,"")</f>
        <v/>
      </c>
    </row>
    <row r="44">
      <c r="A44" t="inlineStr">
        <is>
          <t>W1</t>
        </is>
      </c>
      <c r="B44" t="inlineStr">
        <is>
          <t>02/08</t>
        </is>
      </c>
      <c r="C44" t="inlineStr">
        <is>
          <t>TikTok + FB</t>
        </is>
      </c>
      <c r="D44" t="inlineStr">
        <is>
          <t>Sales</t>
        </is>
      </c>
      <c r="E44" t="inlineStr">
        <is>
          <t>Video 9:16</t>
        </is>
      </c>
      <c r="F44" t="inlineStr">
        <is>
          <t>iPhone 16 giảm sâu trả chậm 0% #37</t>
        </is>
      </c>
      <c r="G44" t="inlineStr">
        <is>
          <t>T8 - BAU</t>
        </is>
      </c>
      <c r="H44" t="inlineStr">
        <is>
          <t>Đã air</t>
        </is>
      </c>
      <c r="J44" t="inlineStr">
        <is>
          <t>https://www.tiktok.com/@topzone.official/video/7540000000293015248</t>
        </is>
      </c>
      <c r="K44" s="4" t="n">
        <v>46236</v>
      </c>
      <c r="L44" t="inlineStr">
        <is>
          <t>https://www.facebook.com/reel/1200000003874973</t>
        </is>
      </c>
      <c r="M44" t="inlineStr">
        <is>
          <t>Hưng</t>
        </is>
      </c>
      <c r="N44" t="inlineStr">
        <is>
          <t>Promotion / Giá - trả chậm</t>
        </is>
      </c>
      <c r="O44" t="n">
        <v>13</v>
      </c>
      <c r="P44" t="n">
        <v>195008</v>
      </c>
      <c r="Q44" t="n">
        <v>2461</v>
      </c>
      <c r="R44" t="n">
        <v>575</v>
      </c>
      <c r="S44" t="n">
        <v>92945</v>
      </c>
      <c r="T44" t="n">
        <v>231616</v>
      </c>
      <c r="U44" t="n">
        <v>7.1</v>
      </c>
      <c r="V44" t="inlineStr">
        <is>
          <t>Có</t>
        </is>
      </c>
      <c r="W44">
        <f>IFERROR(P44+S44+N(Y44),"")</f>
        <v/>
      </c>
      <c r="Z44">
        <f>IFERROR((Q44+R44)/P44,"")</f>
        <v/>
      </c>
      <c r="AA44">
        <f>IFERROR(S44/T44,"")</f>
        <v/>
      </c>
      <c r="AB44" t="inlineStr">
        <is>
          <t>TZ_2026-08_BAU</t>
        </is>
      </c>
      <c r="AC44" t="n">
        <v>2302207</v>
      </c>
      <c r="AD44">
        <f>IFERROR(AC44/P44,"")</f>
        <v/>
      </c>
      <c r="AE44" t="n">
        <v>58688</v>
      </c>
      <c r="AF44" t="n">
        <v>700644</v>
      </c>
      <c r="AG44">
        <f>IFERROR(AF44/AE44,"")</f>
        <v/>
      </c>
      <c r="AH44" t="n">
        <v>159187</v>
      </c>
      <c r="AI44" t="n">
        <v>59581</v>
      </c>
      <c r="AJ44" t="n">
        <v>37186</v>
      </c>
      <c r="AK44">
        <f>IFERROR(AI44/AH44,"")</f>
        <v/>
      </c>
      <c r="AL44">
        <f>IFERROR(AJ44/AH44,"")</f>
        <v/>
      </c>
    </row>
    <row r="45">
      <c r="A45" t="inlineStr">
        <is>
          <t>W2</t>
        </is>
      </c>
      <c r="B45" t="inlineStr">
        <is>
          <t>08/08</t>
        </is>
      </c>
      <c r="C45" t="inlineStr">
        <is>
          <t>TikTok + FB</t>
        </is>
      </c>
      <c r="D45" t="inlineStr">
        <is>
          <t>Brand</t>
        </is>
      </c>
      <c r="E45" t="inlineStr">
        <is>
          <t>Video 9:16</t>
        </is>
      </c>
      <c r="F45" t="inlineStr">
        <is>
          <t>Chuyển dữ liệu Android sang iPhone #38</t>
        </is>
      </c>
      <c r="G45" t="inlineStr">
        <is>
          <t>T8 - BAU</t>
        </is>
      </c>
      <c r="H45" t="inlineStr">
        <is>
          <t>Đã air</t>
        </is>
      </c>
      <c r="J45" t="inlineStr">
        <is>
          <t>https://www.tiktok.com/@topzone.official/video/7540000000300934592</t>
        </is>
      </c>
      <c r="K45" s="4" t="n">
        <v>46242</v>
      </c>
      <c r="L45" t="inlineStr">
        <is>
          <t>https://www.facebook.com/100064123456789/posts/1200000003979702</t>
        </is>
      </c>
      <c r="M45" t="inlineStr">
        <is>
          <t>Hưng</t>
        </is>
      </c>
      <c r="N45" t="inlineStr">
        <is>
          <t>Upgrade / Hướng dẫn (talking-head)</t>
        </is>
      </c>
      <c r="O45" t="n">
        <v>53</v>
      </c>
      <c r="P45" t="n">
        <v>117987</v>
      </c>
      <c r="Q45" t="n">
        <v>2852</v>
      </c>
      <c r="R45" t="n">
        <v>409</v>
      </c>
      <c r="S45" t="n">
        <v>75659</v>
      </c>
      <c r="T45" t="n">
        <v>216369</v>
      </c>
      <c r="U45" t="n">
        <v>9.199999999999999</v>
      </c>
      <c r="V45" t="inlineStr">
        <is>
          <t>Có</t>
        </is>
      </c>
      <c r="W45">
        <f>IFERROR(P45+S45+N(Y45),"")</f>
        <v/>
      </c>
      <c r="Z45">
        <f>IFERROR((Q45+R45)/P45,"")</f>
        <v/>
      </c>
      <c r="AA45">
        <f>IFERROR(S45/T45,"")</f>
        <v/>
      </c>
      <c r="AB45" t="inlineStr">
        <is>
          <t>TZ_2026-08_BAU</t>
        </is>
      </c>
      <c r="AC45" t="n">
        <v>2283308</v>
      </c>
      <c r="AD45">
        <f>IFERROR(AC45/P45,"")</f>
        <v/>
      </c>
      <c r="AE45" t="n">
        <v>48547</v>
      </c>
      <c r="AF45" t="n">
        <v>839455</v>
      </c>
      <c r="AG45">
        <f>IFERROR(AF45/AE45,"")</f>
        <v/>
      </c>
      <c r="AH45" t="n">
        <v>133031</v>
      </c>
      <c r="AI45" t="n">
        <v>50409</v>
      </c>
      <c r="AJ45" t="n">
        <v>33951</v>
      </c>
      <c r="AK45">
        <f>IFERROR(AI45/AH45,"")</f>
        <v/>
      </c>
      <c r="AL45">
        <f>IFERROR(AJ45/AH45,"")</f>
        <v/>
      </c>
    </row>
    <row r="46">
      <c r="A46" t="inlineStr">
        <is>
          <t>W3</t>
        </is>
      </c>
      <c r="B46" t="inlineStr">
        <is>
          <t>17/08</t>
        </is>
      </c>
      <c r="C46" t="inlineStr">
        <is>
          <t>TikTok + FB</t>
        </is>
      </c>
      <c r="D46" t="inlineStr">
        <is>
          <t>Brand</t>
        </is>
      </c>
      <c r="E46" t="inlineStr">
        <is>
          <t>Video 9:16</t>
        </is>
      </c>
      <c r="F46" t="inlineStr">
        <is>
          <t>KV khuyến mãi tháng #39</t>
        </is>
      </c>
      <c r="G46" t="inlineStr">
        <is>
          <t>T8 - BAU</t>
        </is>
      </c>
      <c r="H46" t="inlineStr">
        <is>
          <t>Đã air</t>
        </is>
      </c>
      <c r="J46" t="inlineStr">
        <is>
          <t>https://www.tiktok.com/@topzone.official/video/7540000000308854715</t>
        </is>
      </c>
      <c r="K46" s="4" t="n">
        <v>46251</v>
      </c>
      <c r="L46" t="inlineStr">
        <is>
          <t>https://www.facebook.com/topzone.vn/videos/1200000004084431/</t>
        </is>
      </c>
      <c r="M46" t="inlineStr">
        <is>
          <t>Hưng</t>
        </is>
      </c>
      <c r="N46" t="inlineStr">
        <is>
          <t>Motion KV</t>
        </is>
      </c>
      <c r="O46" t="n">
        <v>14</v>
      </c>
      <c r="P46" t="n">
        <v>121565</v>
      </c>
      <c r="Q46" t="n">
        <v>1131</v>
      </c>
      <c r="R46" t="n">
        <v>205</v>
      </c>
      <c r="S46" t="n">
        <v>67520</v>
      </c>
      <c r="T46" t="n">
        <v>150117</v>
      </c>
      <c r="U46" t="n">
        <v>4.2</v>
      </c>
      <c r="V46" t="inlineStr">
        <is>
          <t>Có</t>
        </is>
      </c>
      <c r="W46">
        <f>IFERROR(P46+S46+N(Y46),"")</f>
        <v/>
      </c>
      <c r="Z46">
        <f>IFERROR((Q46+R46)/P46,"")</f>
        <v/>
      </c>
      <c r="AA46">
        <f>IFERROR(S46/T46,"")</f>
        <v/>
      </c>
      <c r="AB46" t="inlineStr">
        <is>
          <t>TZ_2026-08_BAU</t>
        </is>
      </c>
      <c r="AC46" t="n">
        <v>2235650</v>
      </c>
      <c r="AD46">
        <f>IFERROR(AC46/P46,"")</f>
        <v/>
      </c>
      <c r="AE46" t="n">
        <v>49212</v>
      </c>
      <c r="AF46" t="n">
        <v>685246</v>
      </c>
      <c r="AG46">
        <f>IFERROR(AF46/AE46,"")</f>
        <v/>
      </c>
      <c r="AH46" t="n">
        <v>111058</v>
      </c>
      <c r="AI46" t="n">
        <v>59590</v>
      </c>
      <c r="AJ46" t="n">
        <v>18932</v>
      </c>
      <c r="AK46">
        <f>IFERROR(AI46/AH46,"")</f>
        <v/>
      </c>
      <c r="AL46">
        <f>IFERROR(AJ46/AH46,"")</f>
        <v/>
      </c>
    </row>
    <row r="47">
      <c r="A47" t="inlineStr">
        <is>
          <t>W5</t>
        </is>
      </c>
      <c r="B47" t="inlineStr">
        <is>
          <t>29/08</t>
        </is>
      </c>
      <c r="C47" t="inlineStr">
        <is>
          <t>TikTok + FB</t>
        </is>
      </c>
      <c r="D47" t="inlineStr">
        <is>
          <t>Brand</t>
        </is>
      </c>
      <c r="E47" t="inlineStr">
        <is>
          <t>Video 9:16</t>
        </is>
      </c>
      <c r="F47" t="inlineStr">
        <is>
          <t>5 mẹo iOS ít người biết #40</t>
        </is>
      </c>
      <c r="G47" t="inlineStr">
        <is>
          <t>Before Announce</t>
        </is>
      </c>
      <c r="H47" t="inlineStr">
        <is>
          <t>Đã air</t>
        </is>
      </c>
      <c r="J47" t="inlineStr">
        <is>
          <t>https://www.tiktok.com/@topzone.official/video/7540000000316773919</t>
        </is>
      </c>
      <c r="K47" s="4" t="n">
        <v>46263</v>
      </c>
      <c r="L47" t="inlineStr">
        <is>
          <t>https://www.facebook.com/reel/1200000004189160</t>
        </is>
      </c>
      <c r="M47" t="inlineStr">
        <is>
          <t>Vy</t>
        </is>
      </c>
      <c r="N47" t="inlineStr">
        <is>
          <t>Upgrade / Hướng dẫn (talking-head)</t>
        </is>
      </c>
      <c r="O47" t="n">
        <v>42</v>
      </c>
      <c r="P47" t="n">
        <v>97396</v>
      </c>
      <c r="Q47" t="n">
        <v>2379</v>
      </c>
      <c r="R47" t="n">
        <v>336</v>
      </c>
      <c r="S47" t="n">
        <v>62894</v>
      </c>
      <c r="T47" t="n">
        <v>232990</v>
      </c>
      <c r="U47" t="n">
        <v>9.300000000000001</v>
      </c>
      <c r="V47" t="inlineStr">
        <is>
          <t>Có</t>
        </is>
      </c>
      <c r="W47">
        <f>IFERROR(P47+S47+N(Y47),"")</f>
        <v/>
      </c>
      <c r="Z47">
        <f>IFERROR((Q47+R47)/P47,"")</f>
        <v/>
      </c>
      <c r="AA47">
        <f>IFERROR(S47/T47,"")</f>
        <v/>
      </c>
      <c r="AB47" t="inlineStr">
        <is>
          <t>TZ_2026-08_Before_Announce</t>
        </is>
      </c>
      <c r="AC47" t="n">
        <v>2405822</v>
      </c>
      <c r="AD47">
        <f>IFERROR(AC47/P47,"")</f>
        <v/>
      </c>
      <c r="AE47" t="n">
        <v>34359</v>
      </c>
      <c r="AF47" t="n">
        <v>896042</v>
      </c>
      <c r="AG47">
        <f>IFERROR(AF47/AE47,"")</f>
        <v/>
      </c>
      <c r="AH47" t="n">
        <v>116682</v>
      </c>
      <c r="AI47" t="n">
        <v>63456</v>
      </c>
      <c r="AJ47" t="n">
        <v>30318</v>
      </c>
      <c r="AK47">
        <f>IFERROR(AI47/AH47,"")</f>
        <v/>
      </c>
      <c r="AL47">
        <f>IFERROR(AJ47/AH47,"")</f>
        <v/>
      </c>
    </row>
    <row r="48">
      <c r="A48" t="inlineStr">
        <is>
          <t>W5</t>
        </is>
      </c>
      <c r="B48" t="inlineStr">
        <is>
          <t>29/08</t>
        </is>
      </c>
      <c r="C48" t="inlineStr">
        <is>
          <t>TikTok + FB</t>
        </is>
      </c>
      <c r="D48" t="inlineStr">
        <is>
          <t>Brand</t>
        </is>
      </c>
      <c r="E48" t="inlineStr">
        <is>
          <t>Video 9:16</t>
        </is>
      </c>
      <c r="F48" t="inlineStr">
        <is>
          <t>Apple Watch Series 11 lộ diện #41</t>
        </is>
      </c>
      <c r="G48" t="inlineStr">
        <is>
          <t>Before Announce</t>
        </is>
      </c>
      <c r="H48" t="inlineStr">
        <is>
          <t>Đã air</t>
        </is>
      </c>
      <c r="J48" t="inlineStr">
        <is>
          <t>https://www.tiktok.com/@topzone.official/video/7540000000324693117</t>
        </is>
      </c>
      <c r="K48" s="4" t="n">
        <v>46263</v>
      </c>
      <c r="L48" t="inlineStr">
        <is>
          <t>https://www.facebook.com/100064123456789/posts/1200000004293889</t>
        </is>
      </c>
      <c r="M48" t="inlineStr">
        <is>
          <t>Hưng</t>
        </is>
      </c>
      <c r="N48" t="inlineStr">
        <is>
          <t>NPI - Announce / Sản phẩm mới</t>
        </is>
      </c>
      <c r="O48" t="n">
        <v>25</v>
      </c>
      <c r="P48" t="n">
        <v>846621</v>
      </c>
      <c r="Q48" t="n">
        <v>32697</v>
      </c>
      <c r="R48" t="n">
        <v>4990</v>
      </c>
      <c r="S48" t="n">
        <v>554819</v>
      </c>
      <c r="T48" t="n">
        <v>2157319</v>
      </c>
      <c r="U48" t="n">
        <v>7.4</v>
      </c>
      <c r="V48" t="inlineStr">
        <is>
          <t>Có</t>
        </is>
      </c>
      <c r="W48">
        <f>IFERROR(P48+S48+N(Y48),"")</f>
        <v/>
      </c>
      <c r="Z48">
        <f>IFERROR((Q48+R48)/P48,"")</f>
        <v/>
      </c>
      <c r="AA48">
        <f>IFERROR(S48/T48,"")</f>
        <v/>
      </c>
      <c r="AB48" t="inlineStr">
        <is>
          <t>TZ_2026-08_Before_Announce</t>
        </is>
      </c>
      <c r="AC48" t="n">
        <v>6007482</v>
      </c>
      <c r="AD48">
        <f>IFERROR(AC48/P48,"")</f>
        <v/>
      </c>
      <c r="AE48" t="n">
        <v>293794</v>
      </c>
      <c r="AF48" t="n">
        <v>2445258</v>
      </c>
      <c r="AG48">
        <f>IFERROR(AF48/AE48,"")</f>
        <v/>
      </c>
      <c r="AH48" t="n">
        <v>795727</v>
      </c>
      <c r="AI48" t="n">
        <v>417371</v>
      </c>
      <c r="AJ48" t="n">
        <v>200005</v>
      </c>
      <c r="AK48">
        <f>IFERROR(AI48/AH48,"")</f>
        <v/>
      </c>
      <c r="AL48">
        <f>IFERROR(AJ48/AH48,"")</f>
        <v/>
      </c>
    </row>
    <row r="49">
      <c r="A49" t="inlineStr">
        <is>
          <t>W5</t>
        </is>
      </c>
      <c r="B49" t="inlineStr">
        <is>
          <t>29/08</t>
        </is>
      </c>
      <c r="C49" t="inlineStr">
        <is>
          <t>TikTok + FB</t>
        </is>
      </c>
      <c r="D49" t="inlineStr">
        <is>
          <t>Brand</t>
        </is>
      </c>
      <c r="E49" t="inlineStr">
        <is>
          <t>Video 9:16</t>
        </is>
      </c>
      <c r="F49" t="inlineStr">
        <is>
          <t>Cách chụp đêm đẹp bằng iPhone #42</t>
        </is>
      </c>
      <c r="G49" t="inlineStr">
        <is>
          <t>Before Announce</t>
        </is>
      </c>
      <c r="H49" t="inlineStr">
        <is>
          <t>Đã air</t>
        </is>
      </c>
      <c r="J49" t="inlineStr">
        <is>
          <t>https://www.tiktok.com/@topzone.official/video/7540000000332612269</t>
        </is>
      </c>
      <c r="K49" s="4" t="n">
        <v>46263</v>
      </c>
      <c r="L49" t="inlineStr">
        <is>
          <t>https://www.facebook.com/topzone.vn/videos/1200000004398618/</t>
        </is>
      </c>
      <c r="M49" t="inlineStr">
        <is>
          <t>Hưng</t>
        </is>
      </c>
      <c r="N49" t="inlineStr">
        <is>
          <t>Upgrade / Hướng dẫn (talking-head)</t>
        </is>
      </c>
      <c r="O49" t="n">
        <v>53</v>
      </c>
      <c r="P49" t="n">
        <v>128989</v>
      </c>
      <c r="Q49" t="n">
        <v>2947</v>
      </c>
      <c r="R49" t="n">
        <v>386</v>
      </c>
      <c r="S49" t="n">
        <v>80925</v>
      </c>
      <c r="T49" t="n">
        <v>284950</v>
      </c>
      <c r="U49" t="n">
        <v>10.7</v>
      </c>
      <c r="V49" t="inlineStr">
        <is>
          <t>Có</t>
        </is>
      </c>
      <c r="W49">
        <f>IFERROR(P49+S49+N(Y49),"")</f>
        <v/>
      </c>
      <c r="Z49">
        <f>IFERROR((Q49+R49)/P49,"")</f>
        <v/>
      </c>
      <c r="AA49">
        <f>IFERROR(S49/T49,"")</f>
        <v/>
      </c>
      <c r="AB49" t="inlineStr">
        <is>
          <t>TZ_2026-08_Before_Announce</t>
        </is>
      </c>
      <c r="AC49" t="n">
        <v>1972300</v>
      </c>
      <c r="AD49">
        <f>IFERROR(AC49/P49,"")</f>
        <v/>
      </c>
      <c r="AE49" t="n">
        <v>43937</v>
      </c>
      <c r="AF49" t="n">
        <v>710888</v>
      </c>
      <c r="AG49">
        <f>IFERROR(AF49/AE49,"")</f>
        <v/>
      </c>
      <c r="AH49" t="n">
        <v>116490</v>
      </c>
      <c r="AI49" t="n">
        <v>46688</v>
      </c>
      <c r="AJ49" t="n">
        <v>30608</v>
      </c>
      <c r="AK49">
        <f>IFERROR(AI49/AH49,"")</f>
        <v/>
      </c>
      <c r="AL49">
        <f>IFERROR(AJ49/AH49,"")</f>
        <v/>
      </c>
    </row>
    <row r="50">
      <c r="A50" t="inlineStr">
        <is>
          <t>W3</t>
        </is>
      </c>
      <c r="B50" t="inlineStr">
        <is>
          <t>18/08</t>
        </is>
      </c>
      <c r="C50" t="inlineStr">
        <is>
          <t>TikTok + FB</t>
        </is>
      </c>
      <c r="D50" t="inlineStr">
        <is>
          <t>Brand</t>
        </is>
      </c>
      <c r="E50" t="inlineStr">
        <is>
          <t>Video 9:16</t>
        </is>
      </c>
      <c r="F50" t="inlineStr">
        <is>
          <t>Màu mới iPhone 17 có gì #43</t>
        </is>
      </c>
      <c r="G50" t="inlineStr">
        <is>
          <t>Before Announce</t>
        </is>
      </c>
      <c r="H50" t="inlineStr">
        <is>
          <t>Đã air</t>
        </is>
      </c>
      <c r="J50" t="inlineStr">
        <is>
          <t>https://www.tiktok.com/@topzone.official/video/7540000000340531308</t>
        </is>
      </c>
      <c r="K50" s="4" t="n">
        <v>46252</v>
      </c>
      <c r="L50" t="inlineStr">
        <is>
          <t>https://www.facebook.com/reel/1200000004503347</t>
        </is>
      </c>
      <c r="M50" t="inlineStr">
        <is>
          <t>Hưng</t>
        </is>
      </c>
      <c r="N50" t="inlineStr">
        <is>
          <t>NPI - Announce / Sản phẩm mới</t>
        </is>
      </c>
      <c r="O50" t="n">
        <v>42</v>
      </c>
      <c r="P50" t="n">
        <v>453991</v>
      </c>
      <c r="Q50" t="n">
        <v>17552</v>
      </c>
      <c r="R50" t="n">
        <v>2853</v>
      </c>
      <c r="S50" t="n">
        <v>226318</v>
      </c>
      <c r="T50" t="n">
        <v>754343</v>
      </c>
      <c r="U50" t="n">
        <v>6</v>
      </c>
      <c r="V50" t="inlineStr">
        <is>
          <t>Có</t>
        </is>
      </c>
      <c r="W50">
        <f>IFERROR(P50+S50+N(Y50),"")</f>
        <v/>
      </c>
      <c r="Z50">
        <f>IFERROR((Q50+R50)/P50,"")</f>
        <v/>
      </c>
      <c r="AA50">
        <f>IFERROR(S50/T50,"")</f>
        <v/>
      </c>
      <c r="AB50" t="inlineStr">
        <is>
          <t>TZ_2026-08_Before_Announce</t>
        </is>
      </c>
      <c r="AC50" t="n">
        <v>3636106</v>
      </c>
      <c r="AD50">
        <f>IFERROR(AC50/P50,"")</f>
        <v/>
      </c>
      <c r="AE50" t="n">
        <v>139051</v>
      </c>
      <c r="AF50" t="n">
        <v>991360</v>
      </c>
      <c r="AG50">
        <f>IFERROR(AF50/AE50,"")</f>
        <v/>
      </c>
      <c r="AH50" t="n">
        <v>412498</v>
      </c>
      <c r="AI50" t="n">
        <v>168783</v>
      </c>
      <c r="AJ50" t="n">
        <v>107368</v>
      </c>
      <c r="AK50">
        <f>IFERROR(AI50/AH50,"")</f>
        <v/>
      </c>
      <c r="AL50">
        <f>IFERROR(AJ50/AH50,"")</f>
        <v/>
      </c>
    </row>
    <row r="51">
      <c r="A51" t="inlineStr">
        <is>
          <t>W3</t>
        </is>
      </c>
      <c r="B51" t="inlineStr">
        <is>
          <t>18/08</t>
        </is>
      </c>
      <c r="C51" t="inlineStr">
        <is>
          <t>TikTok + FB</t>
        </is>
      </c>
      <c r="D51" t="inlineStr">
        <is>
          <t>Brand</t>
        </is>
      </c>
      <c r="E51" t="inlineStr">
        <is>
          <t>Video 9:16</t>
        </is>
      </c>
      <c r="F51" t="inlineStr">
        <is>
          <t>Apple Watch Series 11 lộ diện #44</t>
        </is>
      </c>
      <c r="G51" t="inlineStr">
        <is>
          <t>Before Announce</t>
        </is>
      </c>
      <c r="H51" t="inlineStr">
        <is>
          <t>Đã air</t>
        </is>
      </c>
      <c r="J51" t="inlineStr">
        <is>
          <t>https://www.tiktok.com/@topzone.official/video/7540000000348451266</t>
        </is>
      </c>
      <c r="K51" s="4" t="n">
        <v>46252</v>
      </c>
      <c r="L51" t="inlineStr">
        <is>
          <t>https://www.facebook.com/100064123456789/posts/1200000004608076</t>
        </is>
      </c>
      <c r="M51" t="inlineStr">
        <is>
          <t>Vy</t>
        </is>
      </c>
      <c r="N51" t="inlineStr">
        <is>
          <t>NPI - Announce / Sản phẩm mới</t>
        </is>
      </c>
      <c r="O51" t="n">
        <v>20</v>
      </c>
      <c r="P51" t="n">
        <v>511418</v>
      </c>
      <c r="Q51" t="n">
        <v>16347</v>
      </c>
      <c r="R51" t="n">
        <v>2965</v>
      </c>
      <c r="S51" t="n">
        <v>322539</v>
      </c>
      <c r="T51" t="n">
        <v>1097814</v>
      </c>
      <c r="U51" t="n">
        <v>7.7</v>
      </c>
      <c r="V51" t="inlineStr">
        <is>
          <t>Có</t>
        </is>
      </c>
      <c r="W51">
        <f>IFERROR(P51+S51+N(Y51),"")</f>
        <v/>
      </c>
      <c r="Z51">
        <f>IFERROR((Q51+R51)/P51,"")</f>
        <v/>
      </c>
      <c r="AA51">
        <f>IFERROR(S51/T51,"")</f>
        <v/>
      </c>
      <c r="AB51" t="inlineStr">
        <is>
          <t>TZ_2026-08_Before_Announce</t>
        </is>
      </c>
      <c r="AC51" t="n">
        <v>3895015</v>
      </c>
      <c r="AD51">
        <f>IFERROR(AC51/P51,"")</f>
        <v/>
      </c>
      <c r="AE51" t="n">
        <v>242388</v>
      </c>
      <c r="AF51" t="n">
        <v>1522109</v>
      </c>
      <c r="AG51">
        <f>IFERROR(AF51/AE51,"")</f>
        <v/>
      </c>
      <c r="AH51" t="n">
        <v>482217</v>
      </c>
      <c r="AI51" t="n">
        <v>255903</v>
      </c>
      <c r="AJ51" t="n">
        <v>125290</v>
      </c>
      <c r="AK51">
        <f>IFERROR(AI51/AH51,"")</f>
        <v/>
      </c>
      <c r="AL51">
        <f>IFERROR(AJ51/AH51,"")</f>
        <v/>
      </c>
    </row>
    <row r="52">
      <c r="A52" t="inlineStr">
        <is>
          <t>W4</t>
        </is>
      </c>
      <c r="B52" t="inlineStr">
        <is>
          <t>22/08</t>
        </is>
      </c>
      <c r="C52" t="inlineStr">
        <is>
          <t>TikTok + FB</t>
        </is>
      </c>
      <c r="D52" t="inlineStr">
        <is>
          <t>Sales</t>
        </is>
      </c>
      <c r="E52" t="inlineStr">
        <is>
          <t>Video 9:16</t>
        </is>
      </c>
      <c r="F52" t="inlineStr">
        <is>
          <t>Trả chậm 0đ trả trước iPad #45</t>
        </is>
      </c>
      <c r="G52" t="inlineStr">
        <is>
          <t>Before Announce</t>
        </is>
      </c>
      <c r="H52" t="inlineStr">
        <is>
          <t>Đã air</t>
        </is>
      </c>
      <c r="J52" t="inlineStr">
        <is>
          <t>https://www.tiktok.com/@topzone.official/video/7540000000356370826</t>
        </is>
      </c>
      <c r="K52" s="4" t="n">
        <v>46256</v>
      </c>
      <c r="L52" t="inlineStr">
        <is>
          <t>https://www.facebook.com/topzone.vn/videos/1200000004712805/</t>
        </is>
      </c>
      <c r="M52" t="inlineStr">
        <is>
          <t>Hưng</t>
        </is>
      </c>
      <c r="N52" t="inlineStr">
        <is>
          <t>Promotion / Giá - trả chậm</t>
        </is>
      </c>
      <c r="O52" t="n">
        <v>25</v>
      </c>
      <c r="P52" t="n">
        <v>192692</v>
      </c>
      <c r="Q52" t="n">
        <v>3869</v>
      </c>
      <c r="R52" t="n">
        <v>450</v>
      </c>
      <c r="S52" t="n">
        <v>103821</v>
      </c>
      <c r="T52" t="n">
        <v>233674</v>
      </c>
      <c r="U52" t="n">
        <v>7.7</v>
      </c>
      <c r="V52" t="inlineStr">
        <is>
          <t>Có</t>
        </is>
      </c>
      <c r="W52">
        <f>IFERROR(P52+S52+N(Y52),"")</f>
        <v/>
      </c>
      <c r="Z52">
        <f>IFERROR((Q52+R52)/P52,"")</f>
        <v/>
      </c>
      <c r="AA52">
        <f>IFERROR(S52/T52,"")</f>
        <v/>
      </c>
      <c r="AB52" t="inlineStr">
        <is>
          <t>TZ_2026-08_Before_Announce</t>
        </is>
      </c>
      <c r="AC52" t="n">
        <v>1966978</v>
      </c>
      <c r="AD52">
        <f>IFERROR(AC52/P52,"")</f>
        <v/>
      </c>
      <c r="AE52" t="n">
        <v>66918</v>
      </c>
      <c r="AF52" t="n">
        <v>707679</v>
      </c>
      <c r="AG52">
        <f>IFERROR(AF52/AE52,"")</f>
        <v/>
      </c>
      <c r="AH52" t="n">
        <v>172906</v>
      </c>
      <c r="AI52" t="n">
        <v>86334</v>
      </c>
      <c r="AJ52" t="n">
        <v>35585</v>
      </c>
      <c r="AK52">
        <f>IFERROR(AI52/AH52,"")</f>
        <v/>
      </c>
      <c r="AL52">
        <f>IFERROR(AJ52/AH52,"")</f>
        <v/>
      </c>
    </row>
    <row r="53">
      <c r="A53" t="inlineStr">
        <is>
          <t>W3</t>
        </is>
      </c>
      <c r="B53" t="inlineStr">
        <is>
          <t>19/08</t>
        </is>
      </c>
      <c r="C53" t="inlineStr">
        <is>
          <t>TikTok + FB</t>
        </is>
      </c>
      <c r="D53" t="inlineStr">
        <is>
          <t>Sales</t>
        </is>
      </c>
      <c r="E53" t="inlineStr">
        <is>
          <t>Video 9:16</t>
        </is>
      </c>
      <c r="F53" t="inlineStr">
        <is>
          <t>Trả chậm 0đ trả trước iPad #46</t>
        </is>
      </c>
      <c r="G53" t="inlineStr">
        <is>
          <t>Before Announce</t>
        </is>
      </c>
      <c r="H53" t="inlineStr">
        <is>
          <t>Đã air</t>
        </is>
      </c>
      <c r="J53" t="inlineStr">
        <is>
          <t>https://www.tiktok.com/@topzone.official/video/7540000000364289998</t>
        </is>
      </c>
      <c r="K53" s="4" t="n">
        <v>46253</v>
      </c>
      <c r="L53" t="inlineStr">
        <is>
          <t>https://www.facebook.com/reel/1200000004817534</t>
        </is>
      </c>
      <c r="M53" t="inlineStr">
        <is>
          <t>Hưng, Vy</t>
        </is>
      </c>
      <c r="N53" t="inlineStr">
        <is>
          <t>Promotion / Giá - trả chậm</t>
        </is>
      </c>
      <c r="O53" t="n">
        <v>21</v>
      </c>
      <c r="P53" t="n">
        <v>146291</v>
      </c>
      <c r="Q53" t="n">
        <v>2509</v>
      </c>
      <c r="R53" t="n">
        <v>515</v>
      </c>
      <c r="S53" t="n">
        <v>51914</v>
      </c>
      <c r="T53" t="n">
        <v>145289</v>
      </c>
      <c r="U53" t="n">
        <v>7.7</v>
      </c>
      <c r="V53" t="inlineStr">
        <is>
          <t>Có</t>
        </is>
      </c>
      <c r="W53">
        <f>IFERROR(P53+S53+N(Y53),"")</f>
        <v/>
      </c>
      <c r="Z53">
        <f>IFERROR((Q53+R53)/P53,"")</f>
        <v/>
      </c>
      <c r="AA53">
        <f>IFERROR(S53/T53,"")</f>
        <v/>
      </c>
      <c r="AB53" t="inlineStr">
        <is>
          <t>TZ_2026-08_Before_Announce</t>
        </is>
      </c>
      <c r="AC53" t="n">
        <v>1677922</v>
      </c>
      <c r="AD53">
        <f>IFERROR(AC53/P53,"")</f>
        <v/>
      </c>
      <c r="AE53" t="n">
        <v>27644</v>
      </c>
      <c r="AF53" t="n">
        <v>305540</v>
      </c>
      <c r="AG53">
        <f>IFERROR(AF53/AE53,"")</f>
        <v/>
      </c>
      <c r="AH53" t="n">
        <v>84484</v>
      </c>
      <c r="AI53" t="n">
        <v>29992</v>
      </c>
      <c r="AJ53" t="n">
        <v>20618</v>
      </c>
      <c r="AK53">
        <f>IFERROR(AI53/AH53,"")</f>
        <v/>
      </c>
      <c r="AL53">
        <f>IFERROR(AJ53/AH53,"")</f>
        <v/>
      </c>
    </row>
    <row r="54">
      <c r="A54" t="inlineStr">
        <is>
          <t>W4</t>
        </is>
      </c>
      <c r="B54" t="inlineStr">
        <is>
          <t>26/08</t>
        </is>
      </c>
      <c r="C54" t="inlineStr">
        <is>
          <t>TikTok + FB</t>
        </is>
      </c>
      <c r="D54" t="inlineStr">
        <is>
          <t>Brand</t>
        </is>
      </c>
      <c r="E54" t="inlineStr">
        <is>
          <t>Video 9:16</t>
        </is>
      </c>
      <c r="F54" t="inlineStr">
        <is>
          <t>Lên đời iPhone trợ giá 2 triệu #47</t>
        </is>
      </c>
      <c r="G54" t="inlineStr">
        <is>
          <t>Before Announce</t>
        </is>
      </c>
      <c r="H54" t="inlineStr">
        <is>
          <t>Đã air</t>
        </is>
      </c>
      <c r="J54" t="inlineStr">
        <is>
          <t>https://www.tiktok.com/@topzone.official/video/7540000000372209032</t>
        </is>
      </c>
      <c r="K54" s="4" t="n">
        <v>46260</v>
      </c>
      <c r="L54" t="inlineStr">
        <is>
          <t>https://www.facebook.com/100064123456789/posts/1200000004922263</t>
        </is>
      </c>
      <c r="M54" t="inlineStr">
        <is>
          <t>Hùng</t>
        </is>
      </c>
      <c r="N54" t="inlineStr">
        <is>
          <t>Thu cũ đổi mới &amp; Dịch vụ TopZone</t>
        </is>
      </c>
      <c r="O54" t="n">
        <v>25</v>
      </c>
      <c r="P54" t="n">
        <v>133963</v>
      </c>
      <c r="Q54" t="n">
        <v>1566</v>
      </c>
      <c r="R54" t="n">
        <v>353</v>
      </c>
      <c r="S54" t="n">
        <v>91254</v>
      </c>
      <c r="T54" t="n">
        <v>293541</v>
      </c>
      <c r="U54" t="n">
        <v>6.3</v>
      </c>
      <c r="V54" t="inlineStr">
        <is>
          <t>Có</t>
        </is>
      </c>
      <c r="W54">
        <f>IFERROR(P54+S54+N(Y54),"")</f>
        <v/>
      </c>
      <c r="Z54">
        <f>IFERROR((Q54+R54)/P54,"")</f>
        <v/>
      </c>
      <c r="AA54">
        <f>IFERROR(S54/T54,"")</f>
        <v/>
      </c>
      <c r="AB54" t="inlineStr">
        <is>
          <t>TZ_2026-08_Before_Announce</t>
        </is>
      </c>
      <c r="AC54" t="n">
        <v>2526384</v>
      </c>
      <c r="AD54">
        <f>IFERROR(AC54/P54,"")</f>
        <v/>
      </c>
      <c r="AE54" t="n">
        <v>55783</v>
      </c>
      <c r="AF54" t="n">
        <v>1215558</v>
      </c>
      <c r="AG54">
        <f>IFERROR(AF54/AE54,"")</f>
        <v/>
      </c>
      <c r="AH54" t="n">
        <v>150232</v>
      </c>
      <c r="AI54" t="n">
        <v>73508</v>
      </c>
      <c r="AJ54" t="n">
        <v>33304</v>
      </c>
      <c r="AK54">
        <f>IFERROR(AI54/AH54,"")</f>
        <v/>
      </c>
      <c r="AL54">
        <f>IFERROR(AJ54/AH54,"")</f>
        <v/>
      </c>
    </row>
    <row r="55">
      <c r="A55" t="inlineStr">
        <is>
          <t>W4</t>
        </is>
      </c>
      <c r="B55" t="inlineStr">
        <is>
          <t>27/08</t>
        </is>
      </c>
      <c r="C55" t="inlineStr">
        <is>
          <t>TikTok + FB</t>
        </is>
      </c>
      <c r="D55" t="inlineStr">
        <is>
          <t>Brand</t>
        </is>
      </c>
      <c r="E55" t="inlineStr">
        <is>
          <t>Video 9:16</t>
        </is>
      </c>
      <c r="F55" t="inlineStr">
        <is>
          <t>Cách chụp đêm đẹp bằng iPhone #48</t>
        </is>
      </c>
      <c r="G55" t="inlineStr">
        <is>
          <t>Before Announce</t>
        </is>
      </c>
      <c r="H55" t="inlineStr">
        <is>
          <t>Đã air</t>
        </is>
      </c>
      <c r="J55" t="inlineStr">
        <is>
          <t>https://www.tiktok.com/@topzone.official/video/7540000000380128312</t>
        </is>
      </c>
      <c r="K55" s="4" t="n">
        <v>46261</v>
      </c>
      <c r="L55" t="inlineStr">
        <is>
          <t>https://www.facebook.com/topzone.vn/videos/1200000005026992/</t>
        </is>
      </c>
      <c r="M55" t="inlineStr">
        <is>
          <t>Hưng</t>
        </is>
      </c>
      <c r="N55" t="inlineStr">
        <is>
          <t>Upgrade / Hướng dẫn (talking-head)</t>
        </is>
      </c>
      <c r="O55" t="n">
        <v>66</v>
      </c>
      <c r="P55" t="n">
        <v>432717</v>
      </c>
      <c r="Q55" t="n">
        <v>12100</v>
      </c>
      <c r="R55" t="n">
        <v>2023</v>
      </c>
      <c r="S55" t="n">
        <v>193817</v>
      </c>
      <c r="T55" t="n">
        <v>499456</v>
      </c>
      <c r="U55" t="n">
        <v>6.9</v>
      </c>
      <c r="V55" t="inlineStr">
        <is>
          <t>Có</t>
        </is>
      </c>
      <c r="W55">
        <f>IFERROR(P55+S55+N(Y55),"")</f>
        <v/>
      </c>
      <c r="Z55">
        <f>IFERROR((Q55+R55)/P55,"")</f>
        <v/>
      </c>
      <c r="AA55">
        <f>IFERROR(S55/T55,"")</f>
        <v/>
      </c>
      <c r="AB55" t="inlineStr">
        <is>
          <t>TZ_2026-08_Before_Announce</t>
        </is>
      </c>
      <c r="AC55" t="n">
        <v>9851966</v>
      </c>
      <c r="AD55">
        <f>IFERROR(AC55/P55,"")</f>
        <v/>
      </c>
      <c r="AE55" t="n">
        <v>136777</v>
      </c>
      <c r="AF55" t="n">
        <v>2634446</v>
      </c>
      <c r="AG55">
        <f>IFERROR(AF55/AE55,"")</f>
        <v/>
      </c>
      <c r="AH55" t="n">
        <v>292399</v>
      </c>
      <c r="AI55" t="n">
        <v>159523</v>
      </c>
      <c r="AJ55" t="n">
        <v>71345</v>
      </c>
      <c r="AK55">
        <f>IFERROR(AI55/AH55,"")</f>
        <v/>
      </c>
      <c r="AL55">
        <f>IFERROR(AJ55/AH55,"")</f>
        <v/>
      </c>
    </row>
    <row r="56">
      <c r="A56" t="inlineStr">
        <is>
          <t>W4</t>
        </is>
      </c>
      <c r="B56" t="inlineStr">
        <is>
          <t>24/08</t>
        </is>
      </c>
      <c r="C56" t="inlineStr">
        <is>
          <t>TikTok + FB</t>
        </is>
      </c>
      <c r="D56" t="inlineStr">
        <is>
          <t>Brand</t>
        </is>
      </c>
      <c r="E56" t="inlineStr">
        <is>
          <t>Video 9:16</t>
        </is>
      </c>
      <c r="F56" t="inlineStr">
        <is>
          <t>Ai dè mua iPhone được tặng thêm #49</t>
        </is>
      </c>
      <c r="G56" t="inlineStr">
        <is>
          <t>Before Announce</t>
        </is>
      </c>
      <c r="H56" t="inlineStr">
        <is>
          <t>Lên kịch bản</t>
        </is>
      </c>
      <c r="J56" t="inlineStr">
        <is>
          <t>https://www.tiktok.com/@topzone.official/video/7540000000388047873</t>
        </is>
      </c>
      <c r="K56" s="4" t="n">
        <v>46258</v>
      </c>
      <c r="L56" t="inlineStr">
        <is>
          <t>https://www.facebook.com/reel/1200000005131721</t>
        </is>
      </c>
      <c r="M56" t="inlineStr">
        <is>
          <t>Hưng</t>
        </is>
      </c>
      <c r="N56" t="inlineStr">
        <is>
          <t>Sketch hài - Ai Dè</t>
        </is>
      </c>
      <c r="O56" t="n">
        <v>49</v>
      </c>
      <c r="W56">
        <f>IFERROR(P56+S56+N(Y56),"")</f>
        <v/>
      </c>
      <c r="Z56">
        <f>IFERROR((Q56+R56)/P56,"")</f>
        <v/>
      </c>
      <c r="AA56">
        <f>IFERROR(S56/T56,"")</f>
        <v/>
      </c>
      <c r="AD56">
        <f>IFERROR(AC56/P56,"")</f>
        <v/>
      </c>
      <c r="AG56">
        <f>IFERROR(AF56/AE56,"")</f>
        <v/>
      </c>
      <c r="AK56">
        <f>IFERROR(AI56/AH56,"")</f>
        <v/>
      </c>
      <c r="AL56">
        <f>IFERROR(AJ56/AH56,"")</f>
        <v/>
      </c>
    </row>
    <row r="57">
      <c r="A57" t="inlineStr">
        <is>
          <t>W3</t>
        </is>
      </c>
      <c r="B57" t="inlineStr">
        <is>
          <t>20/08</t>
        </is>
      </c>
      <c r="C57" t="inlineStr">
        <is>
          <t>TikTok + FB</t>
        </is>
      </c>
      <c r="D57" t="inlineStr">
        <is>
          <t>Brand</t>
        </is>
      </c>
      <c r="E57" t="inlineStr">
        <is>
          <t>Video 9:16</t>
        </is>
      </c>
      <c r="F57" t="inlineStr">
        <is>
          <t>iPhone 17 Pro chính thức ra mắt #50</t>
        </is>
      </c>
      <c r="G57" t="inlineStr">
        <is>
          <t>Before Announce</t>
        </is>
      </c>
      <c r="H57" t="inlineStr">
        <is>
          <t>Đang edit</t>
        </is>
      </c>
      <c r="J57" t="inlineStr">
        <is>
          <t>https://www.tiktok.com/@topzone.official/video/7540000000395967437</t>
        </is>
      </c>
      <c r="K57" s="4" t="n">
        <v>46254</v>
      </c>
      <c r="L57" t="inlineStr">
        <is>
          <t>https://www.facebook.com/100064123456789/posts/1200000005236450</t>
        </is>
      </c>
      <c r="M57" t="inlineStr">
        <is>
          <t>Hưng</t>
        </is>
      </c>
      <c r="N57" t="inlineStr">
        <is>
          <t>NPI - Announce / Sản phẩm mới</t>
        </is>
      </c>
      <c r="O57" t="n">
        <v>66</v>
      </c>
      <c r="W57">
        <f>IFERROR(P57+S57+N(Y57),"")</f>
        <v/>
      </c>
      <c r="Z57">
        <f>IFERROR((Q57+R57)/P57,"")</f>
        <v/>
      </c>
      <c r="AA57">
        <f>IFERROR(S57/T57,"")</f>
        <v/>
      </c>
      <c r="AD57">
        <f>IFERROR(AC57/P57,"")</f>
        <v/>
      </c>
      <c r="AG57">
        <f>IFERROR(AF57/AE57,"")</f>
        <v/>
      </c>
      <c r="AK57">
        <f>IFERROR(AI57/AH57,"")</f>
        <v/>
      </c>
      <c r="AL57">
        <f>IFERROR(AJ57/AH57,"")</f>
        <v/>
      </c>
    </row>
    <row r="58">
      <c r="A58" t="inlineStr">
        <is>
          <t>W3</t>
        </is>
      </c>
      <c r="B58" t="inlineStr">
        <is>
          <t>18/08</t>
        </is>
      </c>
      <c r="C58" t="inlineStr">
        <is>
          <t>TikTok + FB</t>
        </is>
      </c>
      <c r="D58" t="inlineStr">
        <is>
          <t>Brand</t>
        </is>
      </c>
      <c r="E58" t="inlineStr">
        <is>
          <t>Video 9:16</t>
        </is>
      </c>
      <c r="F58" t="inlineStr">
        <is>
          <t>Lên đời iPhone trợ giá 2 triệu #51</t>
        </is>
      </c>
      <c r="G58" t="inlineStr">
        <is>
          <t>Before Announce</t>
        </is>
      </c>
      <c r="H58" t="inlineStr">
        <is>
          <t>Đã air</t>
        </is>
      </c>
      <c r="J58" t="inlineStr">
        <is>
          <t>https://www.tiktok.com/@topzone.official/video/7540000000403886539</t>
        </is>
      </c>
      <c r="K58" s="4" t="n">
        <v>46252</v>
      </c>
      <c r="L58" t="inlineStr">
        <is>
          <t>https://www.facebook.com/topzone.vn/videos/1200000005341179/</t>
        </is>
      </c>
      <c r="M58" t="inlineStr">
        <is>
          <t>Hưng, Vy</t>
        </is>
      </c>
      <c r="N58" t="inlineStr">
        <is>
          <t>Thu cũ đổi mới &amp; Dịch vụ TopZone</t>
        </is>
      </c>
      <c r="O58" t="n">
        <v>30</v>
      </c>
      <c r="P58" t="n">
        <v>153166</v>
      </c>
      <c r="Q58" t="n">
        <v>2881</v>
      </c>
      <c r="R58" t="n">
        <v>341</v>
      </c>
      <c r="S58" t="n">
        <v>90388</v>
      </c>
      <c r="T58" t="n">
        <v>259695</v>
      </c>
      <c r="U58" t="n">
        <v>5.9</v>
      </c>
      <c r="V58" t="inlineStr">
        <is>
          <t>Có</t>
        </is>
      </c>
      <c r="W58">
        <f>IFERROR(P58+S58+N(Y58),"")</f>
        <v/>
      </c>
      <c r="Z58">
        <f>IFERROR((Q58+R58)/P58,"")</f>
        <v/>
      </c>
      <c r="AA58">
        <f>IFERROR(S58/T58,"")</f>
        <v/>
      </c>
      <c r="AB58" t="inlineStr">
        <is>
          <t>TZ_2026-08_Before_Announce</t>
        </is>
      </c>
      <c r="AC58" t="n">
        <v>2479540</v>
      </c>
      <c r="AD58">
        <f>IFERROR(AC58/P58,"")</f>
        <v/>
      </c>
      <c r="AE58" t="n">
        <v>48615</v>
      </c>
      <c r="AF58" t="n">
        <v>905118</v>
      </c>
      <c r="AG58">
        <f>IFERROR(AF58/AE58,"")</f>
        <v/>
      </c>
      <c r="AH58" t="n">
        <v>167656</v>
      </c>
      <c r="AI58" t="n">
        <v>78307</v>
      </c>
      <c r="AJ58" t="n">
        <v>41573</v>
      </c>
      <c r="AK58">
        <f>IFERROR(AI58/AH58,"")</f>
        <v/>
      </c>
      <c r="AL58">
        <f>IFERROR(AJ58/AH58,"")</f>
        <v/>
      </c>
    </row>
    <row r="59">
      <c r="A59" s="3" t="inlineStr">
        <is>
          <t>SEPTEMBER 2026 - Launch iPhone 17 · 28 video</t>
        </is>
      </c>
    </row>
    <row r="60">
      <c r="A60" t="inlineStr">
        <is>
          <t>W1</t>
        </is>
      </c>
      <c r="B60" t="inlineStr">
        <is>
          <t>02/09</t>
        </is>
      </c>
      <c r="C60" t="inlineStr">
        <is>
          <t>TikTok + FB</t>
        </is>
      </c>
      <c r="D60" t="inlineStr">
        <is>
          <t>Brand</t>
        </is>
      </c>
      <c r="E60" t="inlineStr">
        <is>
          <t>Video 9:16</t>
        </is>
      </c>
      <c r="F60" t="inlineStr">
        <is>
          <t>Tóm tắt sự kiện Apple 3 phút #52</t>
        </is>
      </c>
      <c r="G60" t="inlineStr">
        <is>
          <t>Announce</t>
        </is>
      </c>
      <c r="H60" t="inlineStr">
        <is>
          <t>Đã air</t>
        </is>
      </c>
      <c r="J60" t="inlineStr">
        <is>
          <t>https://www.tiktok.com/@topzone.official/video/7540000000411805882</t>
        </is>
      </c>
      <c r="K60" s="4" t="n">
        <v>46267</v>
      </c>
      <c r="L60" t="inlineStr">
        <is>
          <t>https://www.facebook.com/reel/1200000005445908</t>
        </is>
      </c>
      <c r="M60" t="inlineStr">
        <is>
          <t>Hưng</t>
        </is>
      </c>
      <c r="N60" t="inlineStr">
        <is>
          <t>NPI - Announce / Sản phẩm mới</t>
        </is>
      </c>
      <c r="O60" t="n">
        <v>8</v>
      </c>
      <c r="P60" t="n">
        <v>407819</v>
      </c>
      <c r="Q60" t="n">
        <v>10665</v>
      </c>
      <c r="R60" t="n">
        <v>2378</v>
      </c>
      <c r="S60" t="n">
        <v>207190</v>
      </c>
      <c r="T60" t="n">
        <v>700679</v>
      </c>
      <c r="U60" t="n">
        <v>6.1</v>
      </c>
      <c r="V60" t="inlineStr">
        <is>
          <t>Có</t>
        </is>
      </c>
      <c r="W60">
        <f>IFERROR(P60+S60+N(Y60),"")</f>
        <v/>
      </c>
      <c r="Z60">
        <f>IFERROR((Q60+R60)/P60,"")</f>
        <v/>
      </c>
      <c r="AA60">
        <f>IFERROR(S60/T60,"")</f>
        <v/>
      </c>
      <c r="AB60" t="inlineStr">
        <is>
          <t>TZ_2026-09_Announce</t>
        </is>
      </c>
      <c r="AC60" t="n">
        <v>5404817</v>
      </c>
      <c r="AD60">
        <f>IFERROR(AC60/P60,"")</f>
        <v/>
      </c>
      <c r="AE60" t="n">
        <v>123020</v>
      </c>
      <c r="AF60" t="n">
        <v>1424621</v>
      </c>
      <c r="AG60">
        <f>IFERROR(AF60/AE60,"")</f>
        <v/>
      </c>
      <c r="AH60" t="n">
        <v>325177</v>
      </c>
      <c r="AI60" t="n">
        <v>175829</v>
      </c>
      <c r="AJ60" t="n">
        <v>77343</v>
      </c>
      <c r="AK60">
        <f>IFERROR(AI60/AH60,"")</f>
        <v/>
      </c>
      <c r="AL60">
        <f>IFERROR(AJ60/AH60,"")</f>
        <v/>
      </c>
    </row>
    <row r="61">
      <c r="A61" t="inlineStr">
        <is>
          <t>W2</t>
        </is>
      </c>
      <c r="B61" t="inlineStr">
        <is>
          <t>08/09</t>
        </is>
      </c>
      <c r="C61" t="inlineStr">
        <is>
          <t>TikTok + FB</t>
        </is>
      </c>
      <c r="D61" t="inlineStr">
        <is>
          <t>Brand</t>
        </is>
      </c>
      <c r="E61" t="inlineStr">
        <is>
          <t>Video 9:16</t>
        </is>
      </c>
      <c r="F61" t="inlineStr">
        <is>
          <t>Cách chụp đêm đẹp bằng iPhone #53</t>
        </is>
      </c>
      <c r="G61" t="inlineStr">
        <is>
          <t>Announce</t>
        </is>
      </c>
      <c r="H61" t="inlineStr">
        <is>
          <t>Đã air</t>
        </is>
      </c>
      <c r="J61" t="inlineStr">
        <is>
          <t>https://www.tiktok.com/@topzone.official/video/7540000000419725112</t>
        </is>
      </c>
      <c r="K61" s="4" t="n">
        <v>46273</v>
      </c>
      <c r="L61" t="inlineStr">
        <is>
          <t>https://www.facebook.com/100064123456789/posts/1200000005550637</t>
        </is>
      </c>
      <c r="M61" t="inlineStr">
        <is>
          <t>Hưng</t>
        </is>
      </c>
      <c r="N61" t="inlineStr">
        <is>
          <t>Upgrade / Hướng dẫn (talking-head)</t>
        </is>
      </c>
      <c r="O61" t="n">
        <v>74</v>
      </c>
      <c r="W61">
        <f>IFERROR(P61+S61+N(Y61),"")</f>
        <v/>
      </c>
      <c r="Z61">
        <f>IFERROR((Q61+R61)/P61,"")</f>
        <v/>
      </c>
      <c r="AA61">
        <f>IFERROR(S61/T61,"")</f>
        <v/>
      </c>
      <c r="AD61">
        <f>IFERROR(AC61/P61,"")</f>
        <v/>
      </c>
      <c r="AG61">
        <f>IFERROR(AF61/AE61,"")</f>
        <v/>
      </c>
      <c r="AK61">
        <f>IFERROR(AI61/AH61,"")</f>
        <v/>
      </c>
      <c r="AL61">
        <f>IFERROR(AJ61/AH61,"")</f>
        <v/>
      </c>
    </row>
    <row r="62">
      <c r="A62" t="inlineStr">
        <is>
          <t>W2</t>
        </is>
      </c>
      <c r="B62" t="inlineStr">
        <is>
          <t>08/09</t>
        </is>
      </c>
      <c r="C62" t="inlineStr">
        <is>
          <t>TikTok + FB</t>
        </is>
      </c>
      <c r="D62" t="inlineStr">
        <is>
          <t>Brand</t>
        </is>
      </c>
      <c r="E62" t="inlineStr">
        <is>
          <t>Video 9:16</t>
        </is>
      </c>
      <c r="F62" t="inlineStr">
        <is>
          <t>iPhone 17 Pro chính thức ra mắt #54</t>
        </is>
      </c>
      <c r="G62" t="inlineStr">
        <is>
          <t>Announce</t>
        </is>
      </c>
      <c r="H62" t="inlineStr">
        <is>
          <t>Đã air</t>
        </is>
      </c>
      <c r="K62" s="4" t="n">
        <v>46273</v>
      </c>
      <c r="L62" t="inlineStr">
        <is>
          <t>https://www.facebook.com/topzone.vn/videos/1200000005655366/</t>
        </is>
      </c>
      <c r="M62" t="inlineStr">
        <is>
          <t>Hưng</t>
        </is>
      </c>
      <c r="N62" t="inlineStr">
        <is>
          <t>NPI - Announce / Sản phẩm mới</t>
        </is>
      </c>
      <c r="O62" t="n">
        <v>40</v>
      </c>
      <c r="W62">
        <f>IFERROR(P62+S62+N(Y62),"")</f>
        <v/>
      </c>
      <c r="Z62">
        <f>IFERROR((Q62+R62)/P62,"")</f>
        <v/>
      </c>
      <c r="AA62">
        <f>IFERROR(S62/T62,"")</f>
        <v/>
      </c>
      <c r="AD62">
        <f>IFERROR(AC62/P62,"")</f>
        <v/>
      </c>
      <c r="AG62">
        <f>IFERROR(AF62/AE62,"")</f>
        <v/>
      </c>
      <c r="AK62">
        <f>IFERROR(AI62/AH62,"")</f>
        <v/>
      </c>
      <c r="AL62">
        <f>IFERROR(AJ62/AH62,"")</f>
        <v/>
      </c>
    </row>
    <row r="63">
      <c r="A63" t="inlineStr">
        <is>
          <t>W1</t>
        </is>
      </c>
      <c r="B63" t="inlineStr">
        <is>
          <t>06/09</t>
        </is>
      </c>
      <c r="C63" t="inlineStr">
        <is>
          <t>TikTok + FB</t>
        </is>
      </c>
      <c r="D63" t="inlineStr">
        <is>
          <t>Brand</t>
        </is>
      </c>
      <c r="E63" t="inlineStr">
        <is>
          <t>Video 9:16</t>
        </is>
      </c>
      <c r="F63" t="inlineStr">
        <is>
          <t>Apple Watch Series 11 lộ diện #55</t>
        </is>
      </c>
      <c r="G63" t="inlineStr">
        <is>
          <t>Announce</t>
        </is>
      </c>
      <c r="H63" t="inlineStr">
        <is>
          <t>Đã air</t>
        </is>
      </c>
      <c r="J63" t="inlineStr">
        <is>
          <t>https://www.tiktok.com/@topzone.official/video/7540000000435563350</t>
        </is>
      </c>
      <c r="K63" s="4" t="n">
        <v>46271</v>
      </c>
      <c r="L63" t="inlineStr">
        <is>
          <t>https://www.facebook.com/reel/1200000005760095</t>
        </is>
      </c>
      <c r="M63" t="inlineStr">
        <is>
          <t>Vy</t>
        </is>
      </c>
      <c r="N63" t="inlineStr">
        <is>
          <t>NPI - Announce / Sản phẩm mới</t>
        </is>
      </c>
      <c r="O63" t="n">
        <v>58</v>
      </c>
      <c r="W63">
        <f>IFERROR(P63+S63+N(Y63),"")</f>
        <v/>
      </c>
      <c r="Z63">
        <f>IFERROR((Q63+R63)/P63,"")</f>
        <v/>
      </c>
      <c r="AA63">
        <f>IFERROR(S63/T63,"")</f>
        <v/>
      </c>
      <c r="AD63">
        <f>IFERROR(AC63/P63,"")</f>
        <v/>
      </c>
      <c r="AG63">
        <f>IFERROR(AF63/AE63,"")</f>
        <v/>
      </c>
      <c r="AK63">
        <f>IFERROR(AI63/AH63,"")</f>
        <v/>
      </c>
      <c r="AL63">
        <f>IFERROR(AJ63/AH63,"")</f>
        <v/>
      </c>
    </row>
    <row r="64">
      <c r="A64" t="inlineStr">
        <is>
          <t>W1</t>
        </is>
      </c>
      <c r="B64" t="inlineStr">
        <is>
          <t>02/09</t>
        </is>
      </c>
      <c r="C64" t="inlineStr">
        <is>
          <t>TikTok + FB</t>
        </is>
      </c>
      <c r="D64" t="inlineStr">
        <is>
          <t>Brand</t>
        </is>
      </c>
      <c r="E64" t="inlineStr">
        <is>
          <t>Video 9:16</t>
        </is>
      </c>
      <c r="F64" t="inlineStr">
        <is>
          <t>Chuyển dữ liệu Android sang iPhone #56</t>
        </is>
      </c>
      <c r="G64" t="inlineStr">
        <is>
          <t>Announce</t>
        </is>
      </c>
      <c r="H64" t="inlineStr">
        <is>
          <t>Đã air</t>
        </is>
      </c>
      <c r="J64" t="inlineStr">
        <is>
          <t>https://www.tiktok.com/@topzone.official/video/7540000000443483033</t>
        </is>
      </c>
      <c r="K64" s="4" t="n">
        <v>46267</v>
      </c>
      <c r="L64" t="inlineStr">
        <is>
          <t>https://www.facebook.com/100064123456789/posts/1200000005864824</t>
        </is>
      </c>
      <c r="M64" t="inlineStr">
        <is>
          <t>Hưng</t>
        </is>
      </c>
      <c r="N64" t="inlineStr">
        <is>
          <t>Upgrade / Hướng dẫn (talking-head)</t>
        </is>
      </c>
      <c r="O64" t="n">
        <v>51</v>
      </c>
      <c r="W64">
        <f>IFERROR(P64+S64+N(Y64),"")</f>
        <v/>
      </c>
      <c r="Z64">
        <f>IFERROR((Q64+R64)/P64,"")</f>
        <v/>
      </c>
      <c r="AA64">
        <f>IFERROR(S64/T64,"")</f>
        <v/>
      </c>
      <c r="AD64">
        <f>IFERROR(AC64/P64,"")</f>
        <v/>
      </c>
      <c r="AG64">
        <f>IFERROR(AF64/AE64,"")</f>
        <v/>
      </c>
      <c r="AK64">
        <f>IFERROR(AI64/AH64,"")</f>
        <v/>
      </c>
      <c r="AL64">
        <f>IFERROR(AJ64/AH64,"")</f>
        <v/>
      </c>
    </row>
    <row r="65">
      <c r="A65" t="inlineStr">
        <is>
          <t>W1</t>
        </is>
      </c>
      <c r="B65" t="inlineStr">
        <is>
          <t>04/09</t>
        </is>
      </c>
      <c r="C65" t="inlineStr">
        <is>
          <t>TikTok + FB</t>
        </is>
      </c>
      <c r="D65" t="inlineStr">
        <is>
          <t>Brand</t>
        </is>
      </c>
      <c r="E65" t="inlineStr">
        <is>
          <t>Video 9:16</t>
        </is>
      </c>
      <c r="F65" t="inlineStr">
        <is>
          <t>iPhone 17 Pro chính thức ra mắt #57</t>
        </is>
      </c>
      <c r="G65" t="inlineStr">
        <is>
          <t>Announce</t>
        </is>
      </c>
      <c r="H65" t="inlineStr">
        <is>
          <t>Đã air</t>
        </is>
      </c>
      <c r="J65" t="inlineStr">
        <is>
          <t>https://www.tiktok.com/@topzone.official/video/7540000000451402376</t>
        </is>
      </c>
      <c r="K65" s="4" t="n">
        <v>46269</v>
      </c>
      <c r="L65" t="inlineStr">
        <is>
          <t>https://www.facebook.com/topzone.vn/videos/1200000005969553/</t>
        </is>
      </c>
      <c r="M65" t="inlineStr">
        <is>
          <t>Vy</t>
        </is>
      </c>
      <c r="N65" t="inlineStr">
        <is>
          <t>NPI - Announce / Sản phẩm mới</t>
        </is>
      </c>
      <c r="O65" t="n">
        <v>32</v>
      </c>
      <c r="W65">
        <f>IFERROR(P65+S65+N(Y65),"")</f>
        <v/>
      </c>
      <c r="Z65">
        <f>IFERROR((Q65+R65)/P65,"")</f>
        <v/>
      </c>
      <c r="AA65">
        <f>IFERROR(S65/T65,"")</f>
        <v/>
      </c>
      <c r="AD65">
        <f>IFERROR(AC65/P65,"")</f>
        <v/>
      </c>
      <c r="AG65">
        <f>IFERROR(AF65/AE65,"")</f>
        <v/>
      </c>
      <c r="AK65">
        <f>IFERROR(AI65/AH65,"")</f>
        <v/>
      </c>
      <c r="AL65">
        <f>IFERROR(AJ65/AH65,"")</f>
        <v/>
      </c>
    </row>
    <row r="66">
      <c r="A66" t="inlineStr">
        <is>
          <t>W1</t>
        </is>
      </c>
      <c r="B66" t="inlineStr">
        <is>
          <t>07/09</t>
        </is>
      </c>
      <c r="C66" t="inlineStr">
        <is>
          <t>TikTok + FB</t>
        </is>
      </c>
      <c r="D66" t="inlineStr">
        <is>
          <t>Brand</t>
        </is>
      </c>
      <c r="E66" t="inlineStr">
        <is>
          <t>Video 9:16</t>
        </is>
      </c>
      <c r="F66" t="inlineStr">
        <is>
          <t>Tóm tắt sự kiện Apple 3 phút #58</t>
        </is>
      </c>
      <c r="G66" t="inlineStr">
        <is>
          <t>Announce</t>
        </is>
      </c>
      <c r="H66" t="inlineStr">
        <is>
          <t>Đã air</t>
        </is>
      </c>
      <c r="J66" t="inlineStr">
        <is>
          <t>https://www.tiktok.com/@topzone.official/video/7540000000459321315</t>
        </is>
      </c>
      <c r="K66" s="4" t="n">
        <v>46272</v>
      </c>
      <c r="L66" t="inlineStr">
        <is>
          <t>https://www.facebook.com/reel/1200000006074282</t>
        </is>
      </c>
      <c r="M66" t="inlineStr">
        <is>
          <t>Hưng</t>
        </is>
      </c>
      <c r="N66" t="inlineStr">
        <is>
          <t>NPI - Announce / Sản phẩm mới</t>
        </is>
      </c>
      <c r="O66" t="n">
        <v>8</v>
      </c>
      <c r="W66">
        <f>IFERROR(P66+S66+N(Y66),"")</f>
        <v/>
      </c>
      <c r="Z66">
        <f>IFERROR((Q66+R66)/P66,"")</f>
        <v/>
      </c>
      <c r="AA66">
        <f>IFERROR(S66/T66,"")</f>
        <v/>
      </c>
      <c r="AD66">
        <f>IFERROR(AC66/P66,"")</f>
        <v/>
      </c>
      <c r="AG66">
        <f>IFERROR(AF66/AE66,"")</f>
        <v/>
      </c>
      <c r="AK66">
        <f>IFERROR(AI66/AH66,"")</f>
        <v/>
      </c>
      <c r="AL66">
        <f>IFERROR(AJ66/AH66,"")</f>
        <v/>
      </c>
    </row>
    <row r="67">
      <c r="A67" t="inlineStr">
        <is>
          <t>W2</t>
        </is>
      </c>
      <c r="B67" t="inlineStr">
        <is>
          <t>14/09</t>
        </is>
      </c>
      <c r="C67" t="inlineStr">
        <is>
          <t>TikTok + FB</t>
        </is>
      </c>
      <c r="D67" t="inlineStr">
        <is>
          <t>Brand</t>
        </is>
      </c>
      <c r="E67" t="inlineStr">
        <is>
          <t>Video 9:16</t>
        </is>
      </c>
      <c r="F67" t="inlineStr">
        <is>
          <t>Đặt trước - giao máy tận nhà #59</t>
        </is>
      </c>
      <c r="G67" t="inlineStr">
        <is>
          <t>Pre-order</t>
        </is>
      </c>
      <c r="H67" t="inlineStr">
        <is>
          <t>Đã air</t>
        </is>
      </c>
      <c r="J67" t="inlineStr">
        <is>
          <t>https://vt.tiktok.com/ZSabc123/</t>
        </is>
      </c>
      <c r="K67" s="4" t="n">
        <v>46279</v>
      </c>
      <c r="L67" t="inlineStr">
        <is>
          <t>https://www.facebook.com/100064123456789/posts/1200000006179011</t>
        </is>
      </c>
      <c r="M67" t="inlineStr">
        <is>
          <t>Hưng</t>
        </is>
      </c>
      <c r="N67" t="inlineStr">
        <is>
          <t>NPI - Đặt trước (CTA)</t>
        </is>
      </c>
      <c r="O67" t="n">
        <v>26</v>
      </c>
      <c r="W67">
        <f>IFERROR(P67+S67+N(Y67),"")</f>
        <v/>
      </c>
      <c r="Z67">
        <f>IFERROR((Q67+R67)/P67,"")</f>
        <v/>
      </c>
      <c r="AA67">
        <f>IFERROR(S67/T67,"")</f>
        <v/>
      </c>
      <c r="AD67">
        <f>IFERROR(AC67/P67,"")</f>
        <v/>
      </c>
      <c r="AG67">
        <f>IFERROR(AF67/AE67,"")</f>
        <v/>
      </c>
      <c r="AK67">
        <f>IFERROR(AI67/AH67,"")</f>
        <v/>
      </c>
      <c r="AL67">
        <f>IFERROR(AJ67/AH67,"")</f>
        <v/>
      </c>
    </row>
    <row r="68">
      <c r="A68" t="inlineStr">
        <is>
          <t>W3</t>
        </is>
      </c>
      <c r="B68" t="inlineStr">
        <is>
          <t>15/09</t>
        </is>
      </c>
      <c r="C68" t="inlineStr">
        <is>
          <t>TikTok + FB</t>
        </is>
      </c>
      <c r="D68" t="inlineStr">
        <is>
          <t>Brand</t>
        </is>
      </c>
      <c r="E68" t="inlineStr">
        <is>
          <t>Video 9:16</t>
        </is>
      </c>
      <c r="F68" t="inlineStr">
        <is>
          <t>Đặt trước iPhone 17 nhận quà 3 triệu #60</t>
        </is>
      </c>
      <c r="G68" t="inlineStr">
        <is>
          <t>Pre-order</t>
        </is>
      </c>
      <c r="H68" t="inlineStr">
        <is>
          <t>Đã air</t>
        </is>
      </c>
      <c r="J68" t="inlineStr">
        <is>
          <t>https://www.tiktok.com/@topzone.official/video/7540000000475160220</t>
        </is>
      </c>
      <c r="K68" s="4" t="n">
        <v>46280</v>
      </c>
      <c r="L68" t="inlineStr">
        <is>
          <t>https://www.facebook.com/topzone.vn/videos/1200000006283740/</t>
        </is>
      </c>
      <c r="M68" t="inlineStr">
        <is>
          <t>Hưng</t>
        </is>
      </c>
      <c r="N68" t="inlineStr">
        <is>
          <t>NPI - Đặt trước (CTA)</t>
        </is>
      </c>
      <c r="O68" t="n">
        <v>24</v>
      </c>
      <c r="W68">
        <f>IFERROR(P68+S68+N(Y68),"")</f>
        <v/>
      </c>
      <c r="Z68">
        <f>IFERROR((Q68+R68)/P68,"")</f>
        <v/>
      </c>
      <c r="AA68">
        <f>IFERROR(S68/T68,"")</f>
        <v/>
      </c>
      <c r="AD68">
        <f>IFERROR(AC68/P68,"")</f>
        <v/>
      </c>
      <c r="AG68">
        <f>IFERROR(AF68/AE68,"")</f>
        <v/>
      </c>
      <c r="AK68">
        <f>IFERROR(AI68/AH68,"")</f>
        <v/>
      </c>
      <c r="AL68">
        <f>IFERROR(AJ68/AH68,"")</f>
        <v/>
      </c>
    </row>
    <row r="69">
      <c r="A69" t="inlineStr">
        <is>
          <t>W2</t>
        </is>
      </c>
      <c r="B69" t="inlineStr">
        <is>
          <t>14/09</t>
        </is>
      </c>
      <c r="C69" t="inlineStr">
        <is>
          <t>TikTok + FB</t>
        </is>
      </c>
      <c r="D69" t="inlineStr">
        <is>
          <t>Brand</t>
        </is>
      </c>
      <c r="E69" t="inlineStr">
        <is>
          <t>Video 9:16</t>
        </is>
      </c>
      <c r="F69" t="inlineStr">
        <is>
          <t>Lên đời iPhone trợ giá 2 triệu #61</t>
        </is>
      </c>
      <c r="G69" t="inlineStr">
        <is>
          <t>Pre-order</t>
        </is>
      </c>
      <c r="H69" t="inlineStr">
        <is>
          <t>Lên kịch bản</t>
        </is>
      </c>
      <c r="J69" t="inlineStr">
        <is>
          <t>https://www.tiktok.com/@topzone.official/video/7540000000483079707</t>
        </is>
      </c>
      <c r="K69" s="4" t="n">
        <v>46279</v>
      </c>
      <c r="L69" t="inlineStr">
        <is>
          <t>https://www.facebook.com/reel/1200000006388469</t>
        </is>
      </c>
      <c r="M69" t="inlineStr">
        <is>
          <t>Hưng</t>
        </is>
      </c>
      <c r="N69" t="inlineStr">
        <is>
          <t>Thu cũ đổi mới &amp; Dịch vụ TopZone</t>
        </is>
      </c>
      <c r="O69" t="n">
        <v>28</v>
      </c>
      <c r="W69">
        <f>IFERROR(P69+S69+N(Y69),"")</f>
        <v/>
      </c>
      <c r="Z69">
        <f>IFERROR((Q69+R69)/P69,"")</f>
        <v/>
      </c>
      <c r="AA69">
        <f>IFERROR(S69/T69,"")</f>
        <v/>
      </c>
      <c r="AD69">
        <f>IFERROR(AC69/P69,"")</f>
        <v/>
      </c>
      <c r="AG69">
        <f>IFERROR(AF69/AE69,"")</f>
        <v/>
      </c>
      <c r="AK69">
        <f>IFERROR(AI69/AH69,"")</f>
        <v/>
      </c>
      <c r="AL69">
        <f>IFERROR(AJ69/AH69,"")</f>
        <v/>
      </c>
    </row>
    <row r="70">
      <c r="A70" t="inlineStr">
        <is>
          <t>W2</t>
        </is>
      </c>
      <c r="B70" t="inlineStr">
        <is>
          <t>13/09</t>
        </is>
      </c>
      <c r="C70" t="inlineStr">
        <is>
          <t>TikTok + FB</t>
        </is>
      </c>
      <c r="D70" t="inlineStr">
        <is>
          <t>Brand</t>
        </is>
      </c>
      <c r="E70" t="inlineStr">
        <is>
          <t>Video 9:16</t>
        </is>
      </c>
      <c r="F70" t="inlineStr">
        <is>
          <t>Đặt trước - giao máy tận nhà #62</t>
        </is>
      </c>
      <c r="G70" t="inlineStr">
        <is>
          <t>Pre-order</t>
        </is>
      </c>
      <c r="H70" t="inlineStr">
        <is>
          <t>Đã air</t>
        </is>
      </c>
      <c r="J70" t="inlineStr">
        <is>
          <t>https://www.tiktok.com/@topzone.official/video/7540000000490998666</t>
        </is>
      </c>
      <c r="K70" s="4" t="n">
        <v>46278</v>
      </c>
      <c r="L70" t="inlineStr">
        <is>
          <t>https://www.facebook.com/100064123456789/posts/1200000006493198</t>
        </is>
      </c>
      <c r="M70" t="inlineStr">
        <is>
          <t>Hùng</t>
        </is>
      </c>
      <c r="N70" t="inlineStr">
        <is>
          <t>NPI - Đặt trước (CTA)</t>
        </is>
      </c>
      <c r="O70" t="n">
        <v>32</v>
      </c>
      <c r="W70">
        <f>IFERROR(P70+S70+N(Y70),"")</f>
        <v/>
      </c>
      <c r="Z70">
        <f>IFERROR((Q70+R70)/P70,"")</f>
        <v/>
      </c>
      <c r="AA70">
        <f>IFERROR(S70/T70,"")</f>
        <v/>
      </c>
      <c r="AD70">
        <f>IFERROR(AC70/P70,"")</f>
        <v/>
      </c>
      <c r="AG70">
        <f>IFERROR(AF70/AE70,"")</f>
        <v/>
      </c>
      <c r="AK70">
        <f>IFERROR(AI70/AH70,"")</f>
        <v/>
      </c>
      <c r="AL70">
        <f>IFERROR(AJ70/AH70,"")</f>
        <v/>
      </c>
    </row>
    <row r="71">
      <c r="A71" t="inlineStr">
        <is>
          <t>W2</t>
        </is>
      </c>
      <c r="B71" t="inlineStr">
        <is>
          <t>12/09</t>
        </is>
      </c>
      <c r="C71" t="inlineStr">
        <is>
          <t>TikTok + FB</t>
        </is>
      </c>
      <c r="D71" t="inlineStr">
        <is>
          <t>Sales</t>
        </is>
      </c>
      <c r="E71" t="inlineStr">
        <is>
          <t>Video 9:16</t>
        </is>
      </c>
      <c r="F71" t="inlineStr">
        <is>
          <t>iPhone 16 giảm sâu trả chậm 0% #63</t>
        </is>
      </c>
      <c r="G71" t="inlineStr">
        <is>
          <t>Pre-order</t>
        </is>
      </c>
      <c r="H71" t="inlineStr">
        <is>
          <t>Đã air</t>
        </is>
      </c>
      <c r="J71" t="inlineStr">
        <is>
          <t>https://www.tiktok.com/@topzone.official/video/7540000000498918037</t>
        </is>
      </c>
      <c r="K71" s="4" t="n">
        <v>46277</v>
      </c>
      <c r="L71" t="inlineStr">
        <is>
          <t>https://www.facebook.com/share/r/1AbCdEfGh/</t>
        </is>
      </c>
      <c r="M71" t="inlineStr">
        <is>
          <t>Hưng, Vy</t>
        </is>
      </c>
      <c r="N71" t="inlineStr">
        <is>
          <t>Promotion / Giá - trả chậm</t>
        </is>
      </c>
      <c r="O71" t="n">
        <v>16</v>
      </c>
      <c r="W71">
        <f>IFERROR(P71+S71+N(Y71),"")</f>
        <v/>
      </c>
      <c r="Z71">
        <f>IFERROR((Q71+R71)/P71,"")</f>
        <v/>
      </c>
      <c r="AA71">
        <f>IFERROR(S71/T71,"")</f>
        <v/>
      </c>
      <c r="AD71">
        <f>IFERROR(AC71/P71,"")</f>
        <v/>
      </c>
      <c r="AG71">
        <f>IFERROR(AF71/AE71,"")</f>
        <v/>
      </c>
      <c r="AK71">
        <f>IFERROR(AI71/AH71,"")</f>
        <v/>
      </c>
      <c r="AL71">
        <f>IFERROR(AJ71/AH71,"")</f>
        <v/>
      </c>
    </row>
    <row r="72">
      <c r="A72" t="inlineStr">
        <is>
          <t>W3</t>
        </is>
      </c>
      <c r="B72" t="inlineStr">
        <is>
          <t>17/09</t>
        </is>
      </c>
      <c r="C72" t="inlineStr">
        <is>
          <t>TikTok + FB</t>
        </is>
      </c>
      <c r="D72" t="inlineStr">
        <is>
          <t>Brand</t>
        </is>
      </c>
      <c r="E72" t="inlineStr">
        <is>
          <t>Video 9:16</t>
        </is>
      </c>
      <c r="F72" t="inlineStr">
        <is>
          <t>Bảo hành 1 đổi 1 tại TopZone #64</t>
        </is>
      </c>
      <c r="G72" t="inlineStr">
        <is>
          <t>Pre-order</t>
        </is>
      </c>
      <c r="H72" t="inlineStr">
        <is>
          <t>Đã air</t>
        </is>
      </c>
      <c r="J72" t="inlineStr">
        <is>
          <t>https://www.tiktok.com/@topzone.official/video/7540000000506837893</t>
        </is>
      </c>
      <c r="K72" s="4" t="n">
        <v>46282</v>
      </c>
      <c r="L72" t="inlineStr">
        <is>
          <t>https://www.facebook.com/reel/1200000006702656</t>
        </is>
      </c>
      <c r="M72" t="inlineStr">
        <is>
          <t>Vy</t>
        </is>
      </c>
      <c r="N72" t="inlineStr">
        <is>
          <t>Thu cũ đổi mới &amp; Dịch vụ TopZone</t>
        </is>
      </c>
      <c r="O72" t="n">
        <v>23</v>
      </c>
      <c r="W72">
        <f>IFERROR(P72+S72+N(Y72),"")</f>
        <v/>
      </c>
      <c r="Z72">
        <f>IFERROR((Q72+R72)/P72,"")</f>
        <v/>
      </c>
      <c r="AA72">
        <f>IFERROR(S72/T72,"")</f>
        <v/>
      </c>
      <c r="AD72">
        <f>IFERROR(AC72/P72,"")</f>
        <v/>
      </c>
      <c r="AG72">
        <f>IFERROR(AF72/AE72,"")</f>
        <v/>
      </c>
      <c r="AK72">
        <f>IFERROR(AI72/AH72,"")</f>
        <v/>
      </c>
      <c r="AL72">
        <f>IFERROR(AJ72/AH72,"")</f>
        <v/>
      </c>
    </row>
    <row r="73">
      <c r="A73" t="inlineStr">
        <is>
          <t>W2</t>
        </is>
      </c>
      <c r="B73" t="inlineStr">
        <is>
          <t>14/09</t>
        </is>
      </c>
      <c r="C73" t="inlineStr">
        <is>
          <t>TikTok + FB</t>
        </is>
      </c>
      <c r="D73" t="inlineStr">
        <is>
          <t>Brand</t>
        </is>
      </c>
      <c r="E73" t="inlineStr">
        <is>
          <t>Video 9:16</t>
        </is>
      </c>
      <c r="F73" t="inlineStr">
        <is>
          <t>Đặt trước iPhone 17 nhận quà 3 triệu #65</t>
        </is>
      </c>
      <c r="G73" t="inlineStr">
        <is>
          <t>Pre-order</t>
        </is>
      </c>
      <c r="H73" t="inlineStr">
        <is>
          <t>Đã air</t>
        </is>
      </c>
      <c r="J73" t="inlineStr">
        <is>
          <t>https://www.tiktok.com/@topzone.official/video/7540000000514756803</t>
        </is>
      </c>
      <c r="K73" s="4" t="n">
        <v>46279</v>
      </c>
      <c r="L73" t="inlineStr">
        <is>
          <t>https://www.facebook.com/100064123456789/posts/1200000006807385</t>
        </is>
      </c>
      <c r="M73" t="inlineStr">
        <is>
          <t>Vy</t>
        </is>
      </c>
      <c r="N73" t="inlineStr">
        <is>
          <t>NPI - Đặt trước (CTA)</t>
        </is>
      </c>
      <c r="O73" t="n">
        <v>8</v>
      </c>
      <c r="W73">
        <f>IFERROR(P73+S73+N(Y73),"")</f>
        <v/>
      </c>
      <c r="Z73">
        <f>IFERROR((Q73+R73)/P73,"")</f>
        <v/>
      </c>
      <c r="AA73">
        <f>IFERROR(S73/T73,"")</f>
        <v/>
      </c>
      <c r="AD73">
        <f>IFERROR(AC73/P73,"")</f>
        <v/>
      </c>
      <c r="AG73">
        <f>IFERROR(AF73/AE73,"")</f>
        <v/>
      </c>
      <c r="AK73">
        <f>IFERROR(AI73/AH73,"")</f>
        <v/>
      </c>
      <c r="AL73">
        <f>IFERROR(AJ73/AH73,"")</f>
        <v/>
      </c>
    </row>
    <row r="74">
      <c r="A74" t="inlineStr">
        <is>
          <t>W2</t>
        </is>
      </c>
      <c r="B74" t="inlineStr">
        <is>
          <t>13/09</t>
        </is>
      </c>
      <c r="C74" t="inlineStr">
        <is>
          <t>TikTok + FB</t>
        </is>
      </c>
      <c r="D74" t="inlineStr">
        <is>
          <t>Brand</t>
        </is>
      </c>
      <c r="E74" t="inlineStr">
        <is>
          <t>Video 9:16</t>
        </is>
      </c>
      <c r="F74" t="inlineStr">
        <is>
          <t>Đặt trước iPhone 17 nhận quà 3 triệu #66</t>
        </is>
      </c>
      <c r="G74" t="inlineStr">
        <is>
          <t>Pre-order</t>
        </is>
      </c>
      <c r="H74" t="inlineStr">
        <is>
          <t>Đã air</t>
        </is>
      </c>
      <c r="J74" t="inlineStr">
        <is>
          <t>https://www.tiktok.com/@topzone.official/video/7540000000522676815</t>
        </is>
      </c>
      <c r="K74" s="4" t="n">
        <v>46278</v>
      </c>
      <c r="L74" t="inlineStr">
        <is>
          <t>https://www.facebook.com/topzone.vn/videos/1200000006912114/</t>
        </is>
      </c>
      <c r="M74" t="inlineStr">
        <is>
          <t>Hùng</t>
        </is>
      </c>
      <c r="N74" t="inlineStr">
        <is>
          <t>NPI - Đặt trước (CTA)</t>
        </is>
      </c>
      <c r="O74" t="n">
        <v>43</v>
      </c>
      <c r="W74">
        <f>IFERROR(P74+S74+N(Y74),"")</f>
        <v/>
      </c>
      <c r="Z74">
        <f>IFERROR((Q74+R74)/P74,"")</f>
        <v/>
      </c>
      <c r="AA74">
        <f>IFERROR(S74/T74,"")</f>
        <v/>
      </c>
      <c r="AD74">
        <f>IFERROR(AC74/P74,"")</f>
        <v/>
      </c>
      <c r="AG74">
        <f>IFERROR(AF74/AE74,"")</f>
        <v/>
      </c>
      <c r="AK74">
        <f>IFERROR(AI74/AH74,"")</f>
        <v/>
      </c>
      <c r="AL74">
        <f>IFERROR(AJ74/AH74,"")</f>
        <v/>
      </c>
    </row>
    <row r="75">
      <c r="A75" t="inlineStr">
        <is>
          <t>W3</t>
        </is>
      </c>
      <c r="B75" t="inlineStr">
        <is>
          <t>19/09</t>
        </is>
      </c>
      <c r="C75" t="inlineStr">
        <is>
          <t>TikTok + FB</t>
        </is>
      </c>
      <c r="D75" t="inlineStr">
        <is>
          <t>Brand</t>
        </is>
      </c>
      <c r="E75" t="inlineStr">
        <is>
          <t>Video 9:16</t>
        </is>
      </c>
      <c r="F75" t="inlineStr">
        <is>
          <t>Không khí đêm mở bán #67</t>
        </is>
      </c>
      <c r="G75" t="inlineStr">
        <is>
          <t>Mở bán</t>
        </is>
      </c>
      <c r="H75" t="inlineStr">
        <is>
          <t>Đã air</t>
        </is>
      </c>
      <c r="J75" t="inlineStr">
        <is>
          <t>https://www.tiktok.com/@topzone.official/video/7540000000530595971</t>
        </is>
      </c>
      <c r="K75" s="4" t="n">
        <v>46284</v>
      </c>
      <c r="L75" t="inlineStr">
        <is>
          <t>https://www.facebook.com/reel/1200000007016843</t>
        </is>
      </c>
      <c r="M75" t="inlineStr">
        <is>
          <t>Hưng</t>
        </is>
      </c>
      <c r="N75" t="inlineStr">
        <is>
          <t>Mở bán / Sự kiện / Social proof</t>
        </is>
      </c>
      <c r="O75" t="n">
        <v>37</v>
      </c>
      <c r="W75">
        <f>IFERROR(P75+S75+N(Y75),"")</f>
        <v/>
      </c>
      <c r="Z75">
        <f>IFERROR((Q75+R75)/P75,"")</f>
        <v/>
      </c>
      <c r="AA75">
        <f>IFERROR(S75/T75,"")</f>
        <v/>
      </c>
      <c r="AD75">
        <f>IFERROR(AC75/P75,"")</f>
        <v/>
      </c>
      <c r="AG75">
        <f>IFERROR(AF75/AE75,"")</f>
        <v/>
      </c>
      <c r="AK75">
        <f>IFERROR(AI75/AH75,"")</f>
        <v/>
      </c>
      <c r="AL75">
        <f>IFERROR(AJ75/AH75,"")</f>
        <v/>
      </c>
    </row>
    <row r="76">
      <c r="A76" t="inlineStr">
        <is>
          <t>W3</t>
        </is>
      </c>
      <c r="B76" t="inlineStr">
        <is>
          <t>20/09</t>
        </is>
      </c>
      <c r="C76" t="inlineStr">
        <is>
          <t>TikTok + FB</t>
        </is>
      </c>
      <c r="D76" t="inlineStr">
        <is>
          <t>Brand</t>
        </is>
      </c>
      <c r="E76" t="inlineStr">
        <is>
          <t>Video 9:16</t>
        </is>
      </c>
      <c r="F76" t="inlineStr">
        <is>
          <t>Không khí đêm mở bán #68</t>
        </is>
      </c>
      <c r="G76" t="inlineStr">
        <is>
          <t>Mở bán</t>
        </is>
      </c>
      <c r="H76" t="inlineStr">
        <is>
          <t>Đã air</t>
        </is>
      </c>
      <c r="J76" t="inlineStr">
        <is>
          <t>https://www.tiktok.com/@topzone.official/video/7540000000538515000</t>
        </is>
      </c>
      <c r="K76" s="4" t="n">
        <v>46285</v>
      </c>
      <c r="L76" t="inlineStr">
        <is>
          <t>https://www.facebook.com/100064123456789/posts/1200000007121572</t>
        </is>
      </c>
      <c r="M76" t="inlineStr">
        <is>
          <t>Hưng</t>
        </is>
      </c>
      <c r="N76" t="inlineStr">
        <is>
          <t>Mở bán / Sự kiện / Social proof</t>
        </is>
      </c>
      <c r="O76" t="n">
        <v>29</v>
      </c>
      <c r="W76">
        <f>IFERROR(P76+S76+N(Y76),"")</f>
        <v/>
      </c>
      <c r="Z76">
        <f>IFERROR((Q76+R76)/P76,"")</f>
        <v/>
      </c>
      <c r="AA76">
        <f>IFERROR(S76/T76,"")</f>
        <v/>
      </c>
      <c r="AD76">
        <f>IFERROR(AC76/P76,"")</f>
        <v/>
      </c>
      <c r="AG76">
        <f>IFERROR(AF76/AE76,"")</f>
        <v/>
      </c>
      <c r="AK76">
        <f>IFERROR(AI76/AH76,"")</f>
        <v/>
      </c>
      <c r="AL76">
        <f>IFERROR(AJ76/AH76,"")</f>
        <v/>
      </c>
    </row>
    <row r="77">
      <c r="A77" t="inlineStr">
        <is>
          <t>W3</t>
        </is>
      </c>
      <c r="B77" t="inlineStr">
        <is>
          <t>20/09</t>
        </is>
      </c>
      <c r="C77" t="inlineStr">
        <is>
          <t>TikTok + FB</t>
        </is>
      </c>
      <c r="D77" t="inlineStr">
        <is>
          <t>Brand</t>
        </is>
      </c>
      <c r="E77" t="inlineStr">
        <is>
          <t>Video 9:16</t>
        </is>
      </c>
      <c r="F77" t="inlineStr">
        <is>
          <t>Không khí đêm mở bán #69</t>
        </is>
      </c>
      <c r="G77" t="inlineStr">
        <is>
          <t>Mở bán</t>
        </is>
      </c>
      <c r="H77" t="inlineStr">
        <is>
          <t>Đã air</t>
        </is>
      </c>
      <c r="J77" t="inlineStr">
        <is>
          <t>https://www.tiktok.com/@topzone.official/video/7540000000546434179</t>
        </is>
      </c>
      <c r="K77" s="4" t="n">
        <v>46285</v>
      </c>
      <c r="L77" t="inlineStr">
        <is>
          <t>https://www.facebook.com/topzone.vn/videos/1200000007226301/</t>
        </is>
      </c>
      <c r="M77" t="inlineStr">
        <is>
          <t>Hưng</t>
        </is>
      </c>
      <c r="N77" t="inlineStr">
        <is>
          <t>Mở bán / Sự kiện / Social proof</t>
        </is>
      </c>
      <c r="O77" t="n">
        <v>25</v>
      </c>
      <c r="W77">
        <f>IFERROR(P77+S77+N(Y77),"")</f>
        <v/>
      </c>
      <c r="Z77">
        <f>IFERROR((Q77+R77)/P77,"")</f>
        <v/>
      </c>
      <c r="AA77">
        <f>IFERROR(S77/T77,"")</f>
        <v/>
      </c>
      <c r="AD77">
        <f>IFERROR(AC77/P77,"")</f>
        <v/>
      </c>
      <c r="AG77">
        <f>IFERROR(AF77/AE77,"")</f>
        <v/>
      </c>
      <c r="AK77">
        <f>IFERROR(AI77/AH77,"")</f>
        <v/>
      </c>
      <c r="AL77">
        <f>IFERROR(AJ77/AH77,"")</f>
        <v/>
      </c>
    </row>
    <row r="78">
      <c r="A78" t="inlineStr">
        <is>
          <t>W3</t>
        </is>
      </c>
      <c r="B78" t="inlineStr">
        <is>
          <t>20/09</t>
        </is>
      </c>
      <c r="C78" t="inlineStr">
        <is>
          <t>TikTok + FB</t>
        </is>
      </c>
      <c r="D78" t="inlineStr">
        <is>
          <t>Brand</t>
        </is>
      </c>
      <c r="E78" t="inlineStr">
        <is>
          <t>Video 9:16</t>
        </is>
      </c>
      <c r="F78" t="inlineStr">
        <is>
          <t>KV khuyến mãi tháng #70</t>
        </is>
      </c>
      <c r="G78" t="inlineStr">
        <is>
          <t>Mở bán</t>
        </is>
      </c>
      <c r="H78" t="inlineStr">
        <is>
          <t>Đã air</t>
        </is>
      </c>
      <c r="J78" t="inlineStr">
        <is>
          <t>https://www.tiktok.com/@topzone.official/video/7540000000554353487</t>
        </is>
      </c>
      <c r="K78" s="4" t="n">
        <v>46285</v>
      </c>
      <c r="L78" t="inlineStr">
        <is>
          <t>https://www.facebook.com/reel/1200000007331030</t>
        </is>
      </c>
      <c r="M78" t="inlineStr">
        <is>
          <t>Hưng</t>
        </is>
      </c>
      <c r="N78" t="inlineStr">
        <is>
          <t>Motion KV</t>
        </is>
      </c>
      <c r="O78" t="n">
        <v>8</v>
      </c>
      <c r="W78">
        <f>IFERROR(P78+S78+N(Y78),"")</f>
        <v/>
      </c>
      <c r="Z78">
        <f>IFERROR((Q78+R78)/P78,"")</f>
        <v/>
      </c>
      <c r="AA78">
        <f>IFERROR(S78/T78,"")</f>
        <v/>
      </c>
      <c r="AD78">
        <f>IFERROR(AC78/P78,"")</f>
        <v/>
      </c>
      <c r="AG78">
        <f>IFERROR(AF78/AE78,"")</f>
        <v/>
      </c>
      <c r="AK78">
        <f>IFERROR(AI78/AH78,"")</f>
        <v/>
      </c>
      <c r="AL78">
        <f>IFERROR(AJ78/AH78,"")</f>
        <v/>
      </c>
    </row>
    <row r="79">
      <c r="A79" t="inlineStr">
        <is>
          <t>W4</t>
        </is>
      </c>
      <c r="B79" t="inlineStr">
        <is>
          <t>22/09</t>
        </is>
      </c>
      <c r="C79" t="inlineStr">
        <is>
          <t>TikTok + FB</t>
        </is>
      </c>
      <c r="D79" t="inlineStr">
        <is>
          <t>Brand</t>
        </is>
      </c>
      <c r="E79" t="inlineStr">
        <is>
          <t>Video 9:16</t>
        </is>
      </c>
      <c r="F79" t="inlineStr">
        <is>
          <t>Người đầu tiên cầm iPhone 17 #71</t>
        </is>
      </c>
      <c r="G79" t="inlineStr">
        <is>
          <t>Mở bán</t>
        </is>
      </c>
      <c r="H79" t="inlineStr">
        <is>
          <t>Đã air</t>
        </is>
      </c>
      <c r="J79" t="inlineStr">
        <is>
          <t>https://www.tiktok.com/@topzone.official/video/7540000000562273317</t>
        </is>
      </c>
      <c r="K79" s="4" t="n">
        <v>46287</v>
      </c>
      <c r="L79" t="inlineStr">
        <is>
          <t>https://www.facebook.com/100064123456789/posts/1200000007435759</t>
        </is>
      </c>
      <c r="M79" t="inlineStr">
        <is>
          <t>Hưng</t>
        </is>
      </c>
      <c r="N79" t="inlineStr">
        <is>
          <t>Mở bán / Sự kiện / Social proof</t>
        </is>
      </c>
      <c r="O79" t="n">
        <v>23</v>
      </c>
      <c r="W79">
        <f>IFERROR(P79+S79+N(Y79),"")</f>
        <v/>
      </c>
      <c r="Z79">
        <f>IFERROR((Q79+R79)/P79,"")</f>
        <v/>
      </c>
      <c r="AA79">
        <f>IFERROR(S79/T79,"")</f>
        <v/>
      </c>
      <c r="AD79">
        <f>IFERROR(AC79/P79,"")</f>
        <v/>
      </c>
      <c r="AG79">
        <f>IFERROR(AF79/AE79,"")</f>
        <v/>
      </c>
      <c r="AK79">
        <f>IFERROR(AI79/AH79,"")</f>
        <v/>
      </c>
      <c r="AL79">
        <f>IFERROR(AJ79/AH79,"")</f>
        <v/>
      </c>
    </row>
    <row r="80">
      <c r="A80" t="inlineStr">
        <is>
          <t>W4</t>
        </is>
      </c>
      <c r="B80" t="inlineStr">
        <is>
          <t>22/09</t>
        </is>
      </c>
      <c r="C80" t="inlineStr">
        <is>
          <t>TikTok + FB</t>
        </is>
      </c>
      <c r="D80" t="inlineStr">
        <is>
          <t>Brand</t>
        </is>
      </c>
      <c r="E80" t="inlineStr">
        <is>
          <t>Video 9:16</t>
        </is>
      </c>
      <c r="F80" t="inlineStr">
        <is>
          <t>Người đầu tiên cầm iPhone 17 #72</t>
        </is>
      </c>
      <c r="G80" t="inlineStr">
        <is>
          <t>Mở bán</t>
        </is>
      </c>
      <c r="H80" t="inlineStr">
        <is>
          <t>Đã air</t>
        </is>
      </c>
      <c r="J80" t="inlineStr">
        <is>
          <t>https://www.tiktok.com/@topzone.official/video/7540000000570192652</t>
        </is>
      </c>
      <c r="K80" s="4" t="n">
        <v>46287</v>
      </c>
      <c r="L80" t="inlineStr">
        <is>
          <t>https://www.facebook.com/topzone.vn/videos/1200000007540488/</t>
        </is>
      </c>
      <c r="M80" t="inlineStr">
        <is>
          <t>Vy</t>
        </is>
      </c>
      <c r="N80" t="inlineStr">
        <is>
          <t>Mở bán / Sự kiện / Social proof</t>
        </is>
      </c>
      <c r="O80" t="n">
        <v>35</v>
      </c>
      <c r="W80">
        <f>IFERROR(P80+S80+N(Y80),"")</f>
        <v/>
      </c>
      <c r="Z80">
        <f>IFERROR((Q80+R80)/P80,"")</f>
        <v/>
      </c>
      <c r="AA80">
        <f>IFERROR(S80/T80,"")</f>
        <v/>
      </c>
      <c r="AD80">
        <f>IFERROR(AC80/P80,"")</f>
        <v/>
      </c>
      <c r="AG80">
        <f>IFERROR(AF80/AE80,"")</f>
        <v/>
      </c>
      <c r="AK80">
        <f>IFERROR(AI80/AH80,"")</f>
        <v/>
      </c>
      <c r="AL80">
        <f>IFERROR(AJ80/AH80,"")</f>
        <v/>
      </c>
    </row>
    <row r="81">
      <c r="A81" t="inlineStr">
        <is>
          <t>W5</t>
        </is>
      </c>
      <c r="B81" t="inlineStr">
        <is>
          <t>30/09</t>
        </is>
      </c>
      <c r="C81" t="inlineStr">
        <is>
          <t>TikTok + FB</t>
        </is>
      </c>
      <c r="D81" t="inlineStr">
        <is>
          <t>Sales</t>
        </is>
      </c>
      <c r="E81" t="inlineStr">
        <is>
          <t>Video 9:16</t>
        </is>
      </c>
      <c r="F81" t="inlineStr">
        <is>
          <t>AirPods Pro 3 giảm thêm 500K #73</t>
        </is>
      </c>
      <c r="G81" t="inlineStr">
        <is>
          <t>Sau mở bán</t>
        </is>
      </c>
      <c r="H81" t="inlineStr">
        <is>
          <t>Đã air</t>
        </is>
      </c>
      <c r="J81" t="inlineStr">
        <is>
          <t>https://www.tiktok.com/@topzone.official/video/7540000000578111283</t>
        </is>
      </c>
      <c r="K81" s="4" t="n">
        <v>46295</v>
      </c>
      <c r="L81" t="inlineStr">
        <is>
          <t>https://www.facebook.com/reel/1200000007645217</t>
        </is>
      </c>
      <c r="M81" t="inlineStr">
        <is>
          <t>Hưng</t>
        </is>
      </c>
      <c r="N81" t="inlineStr">
        <is>
          <t>Promotion / Giá - trả chậm</t>
        </is>
      </c>
      <c r="O81" t="n">
        <v>18</v>
      </c>
      <c r="W81">
        <f>IFERROR(P81+S81+N(Y81),"")</f>
        <v/>
      </c>
      <c r="Z81">
        <f>IFERROR((Q81+R81)/P81,"")</f>
        <v/>
      </c>
      <c r="AA81">
        <f>IFERROR(S81/T81,"")</f>
        <v/>
      </c>
      <c r="AD81">
        <f>IFERROR(AC81/P81,"")</f>
        <v/>
      </c>
      <c r="AG81">
        <f>IFERROR(AF81/AE81,"")</f>
        <v/>
      </c>
      <c r="AK81">
        <f>IFERROR(AI81/AH81,"")</f>
        <v/>
      </c>
      <c r="AL81">
        <f>IFERROR(AJ81/AH81,"")</f>
        <v/>
      </c>
    </row>
    <row r="82">
      <c r="A82" t="inlineStr">
        <is>
          <t>W4</t>
        </is>
      </c>
      <c r="B82" t="inlineStr">
        <is>
          <t>27/09</t>
        </is>
      </c>
      <c r="C82" t="inlineStr">
        <is>
          <t>TikTok + FB</t>
        </is>
      </c>
      <c r="D82" t="inlineStr">
        <is>
          <t>Brand</t>
        </is>
      </c>
      <c r="E82" t="inlineStr">
        <is>
          <t>Video 9:16</t>
        </is>
      </c>
      <c r="F82" t="inlineStr">
        <is>
          <t>Không khí đêm mở bán #74</t>
        </is>
      </c>
      <c r="G82" t="inlineStr">
        <is>
          <t>Sau mở bán</t>
        </is>
      </c>
      <c r="H82" t="inlineStr">
        <is>
          <t>Đã air</t>
        </is>
      </c>
      <c r="J82" t="inlineStr">
        <is>
          <t>https://www.tiktok.com/@topzone.official/video/7540000000586031014</t>
        </is>
      </c>
      <c r="K82" s="4" t="n">
        <v>46292</v>
      </c>
      <c r="L82" t="inlineStr">
        <is>
          <t>https://www.facebook.com/100064123456789/posts/1200000007749946</t>
        </is>
      </c>
      <c r="M82" t="inlineStr">
        <is>
          <t>Hưng</t>
        </is>
      </c>
      <c r="N82" t="inlineStr">
        <is>
          <t>Mở bán / Sự kiện / Social proof</t>
        </is>
      </c>
      <c r="O82" t="n">
        <v>63</v>
      </c>
      <c r="W82">
        <f>IFERROR(P82+S82+N(Y82),"")</f>
        <v/>
      </c>
      <c r="Z82">
        <f>IFERROR((Q82+R82)/P82,"")</f>
        <v/>
      </c>
      <c r="AA82">
        <f>IFERROR(S82/T82,"")</f>
        <v/>
      </c>
      <c r="AD82">
        <f>IFERROR(AC82/P82,"")</f>
        <v/>
      </c>
      <c r="AG82">
        <f>IFERROR(AF82/AE82,"")</f>
        <v/>
      </c>
      <c r="AK82">
        <f>IFERROR(AI82/AH82,"")</f>
        <v/>
      </c>
      <c r="AL82">
        <f>IFERROR(AJ82/AH82,"")</f>
        <v/>
      </c>
    </row>
    <row r="83">
      <c r="A83" t="inlineStr">
        <is>
          <t>W5</t>
        </is>
      </c>
      <c r="B83" t="inlineStr">
        <is>
          <t>29/09</t>
        </is>
      </c>
      <c r="C83" t="inlineStr">
        <is>
          <t>TikTok + FB</t>
        </is>
      </c>
      <c r="D83" t="inlineStr">
        <is>
          <t>Brand</t>
        </is>
      </c>
      <c r="E83" t="inlineStr">
        <is>
          <t>Video 9:16</t>
        </is>
      </c>
      <c r="F83" t="inlineStr">
        <is>
          <t>Workshop chụp ảnh iPhone #75</t>
        </is>
      </c>
      <c r="G83" t="inlineStr">
        <is>
          <t>Sau mở bán</t>
        </is>
      </c>
      <c r="H83" t="inlineStr">
        <is>
          <t>Đã air</t>
        </is>
      </c>
      <c r="J83" t="inlineStr">
        <is>
          <t>https://www.tiktok.com/@topzone.official/video/7540000000593950149</t>
        </is>
      </c>
      <c r="K83" s="4" t="n">
        <v>46294</v>
      </c>
      <c r="L83" t="inlineStr">
        <is>
          <t>https://www.facebook.com/topzone.vn/videos/1200000007854675/</t>
        </is>
      </c>
      <c r="M83" t="inlineStr">
        <is>
          <t>Hưng</t>
        </is>
      </c>
      <c r="N83" t="inlineStr">
        <is>
          <t>Workshop / Cộng đồng</t>
        </is>
      </c>
      <c r="O83" t="n">
        <v>27</v>
      </c>
      <c r="W83">
        <f>IFERROR(P83+S83+N(Y83),"")</f>
        <v/>
      </c>
      <c r="Z83">
        <f>IFERROR((Q83+R83)/P83,"")</f>
        <v/>
      </c>
      <c r="AA83">
        <f>IFERROR(S83/T83,"")</f>
        <v/>
      </c>
      <c r="AD83">
        <f>IFERROR(AC83/P83,"")</f>
        <v/>
      </c>
      <c r="AG83">
        <f>IFERROR(AF83/AE83,"")</f>
        <v/>
      </c>
      <c r="AK83">
        <f>IFERROR(AI83/AH83,"")</f>
        <v/>
      </c>
      <c r="AL83">
        <f>IFERROR(AJ83/AH83,"")</f>
        <v/>
      </c>
    </row>
    <row r="84">
      <c r="A84" t="inlineStr">
        <is>
          <t>W4</t>
        </is>
      </c>
      <c r="B84" t="inlineStr">
        <is>
          <t>26/09</t>
        </is>
      </c>
      <c r="C84" t="inlineStr">
        <is>
          <t>TikTok + FB</t>
        </is>
      </c>
      <c r="D84" t="inlineStr">
        <is>
          <t>Brand</t>
        </is>
      </c>
      <c r="E84" t="inlineStr">
        <is>
          <t>Video 9:16</t>
        </is>
      </c>
      <c r="F84" t="inlineStr">
        <is>
          <t>Dịch vụ dán màn hình miễn phí #76</t>
        </is>
      </c>
      <c r="G84" t="inlineStr">
        <is>
          <t>Sau mở bán</t>
        </is>
      </c>
      <c r="H84" t="inlineStr">
        <is>
          <t>Đã air</t>
        </is>
      </c>
      <c r="J84" t="inlineStr">
        <is>
          <t>https://www.tiktok.com/@topzone.official/video/7540000000601869510</t>
        </is>
      </c>
      <c r="K84" s="4" t="n">
        <v>46291</v>
      </c>
      <c r="L84" t="inlineStr">
        <is>
          <t>https://www.facebook.com/reel/1200000007959404</t>
        </is>
      </c>
      <c r="M84" t="inlineStr">
        <is>
          <t>Hưng, Vy</t>
        </is>
      </c>
      <c r="N84" t="inlineStr">
        <is>
          <t>Thu cũ đổi mới &amp; Dịch vụ TopZone</t>
        </is>
      </c>
      <c r="O84" t="n">
        <v>42</v>
      </c>
      <c r="W84">
        <f>IFERROR(P84+S84+N(Y84),"")</f>
        <v/>
      </c>
      <c r="Z84">
        <f>IFERROR((Q84+R84)/P84,"")</f>
        <v/>
      </c>
      <c r="AA84">
        <f>IFERROR(S84/T84,"")</f>
        <v/>
      </c>
      <c r="AD84">
        <f>IFERROR(AC84/P84,"")</f>
        <v/>
      </c>
      <c r="AG84">
        <f>IFERROR(AF84/AE84,"")</f>
        <v/>
      </c>
      <c r="AK84">
        <f>IFERROR(AI84/AH84,"")</f>
        <v/>
      </c>
      <c r="AL84">
        <f>IFERROR(AJ84/AH84,"")</f>
        <v/>
      </c>
    </row>
    <row r="85">
      <c r="A85" t="inlineStr">
        <is>
          <t>W5</t>
        </is>
      </c>
      <c r="B85" t="inlineStr">
        <is>
          <t>29/09</t>
        </is>
      </c>
      <c r="C85" t="inlineStr">
        <is>
          <t>TikTok + FB</t>
        </is>
      </c>
      <c r="D85" t="inlineStr">
        <is>
          <t>Sales</t>
        </is>
      </c>
      <c r="E85" t="inlineStr">
        <is>
          <t>Video 9:16</t>
        </is>
      </c>
      <c r="F85" t="inlineStr">
        <is>
          <t>AirPods Pro 3 giảm thêm 500K #77</t>
        </is>
      </c>
      <c r="G85" t="inlineStr">
        <is>
          <t>Sau mở bán</t>
        </is>
      </c>
      <c r="H85" t="inlineStr">
        <is>
          <t>Đã air</t>
        </is>
      </c>
      <c r="J85" t="inlineStr">
        <is>
          <t>https://www.tiktok.com/@topzone.official/video/7540000000609788702</t>
        </is>
      </c>
      <c r="K85" s="4" t="n">
        <v>46294</v>
      </c>
      <c r="L85" t="inlineStr">
        <is>
          <t>https://www.facebook.com/100064123456789/posts/1200000008064133</t>
        </is>
      </c>
      <c r="M85" t="inlineStr">
        <is>
          <t>Vy</t>
        </is>
      </c>
      <c r="N85" t="inlineStr">
        <is>
          <t>Promotion / Giá - trả chậm</t>
        </is>
      </c>
      <c r="O85" t="n">
        <v>8</v>
      </c>
      <c r="W85">
        <f>IFERROR(P85+S85+N(Y85),"")</f>
        <v/>
      </c>
      <c r="Z85">
        <f>IFERROR((Q85+R85)/P85,"")</f>
        <v/>
      </c>
      <c r="AA85">
        <f>IFERROR(S85/T85,"")</f>
        <v/>
      </c>
      <c r="AD85">
        <f>IFERROR(AC85/P85,"")</f>
        <v/>
      </c>
      <c r="AG85">
        <f>IFERROR(AF85/AE85,"")</f>
        <v/>
      </c>
      <c r="AK85">
        <f>IFERROR(AI85/AH85,"")</f>
        <v/>
      </c>
      <c r="AL85">
        <f>IFERROR(AJ85/AH85,"")</f>
        <v/>
      </c>
    </row>
    <row r="86">
      <c r="A86" t="inlineStr">
        <is>
          <t>W4</t>
        </is>
      </c>
      <c r="B86" t="inlineStr">
        <is>
          <t>28/09</t>
        </is>
      </c>
      <c r="C86" t="inlineStr">
        <is>
          <t>TikTok + FB</t>
        </is>
      </c>
      <c r="D86" t="inlineStr">
        <is>
          <t>Brand</t>
        </is>
      </c>
      <c r="E86" t="inlineStr">
        <is>
          <t>Video 9:16</t>
        </is>
      </c>
      <c r="F86" t="inlineStr">
        <is>
          <t>Ai dè mua iPhone được tặng thêm #78</t>
        </is>
      </c>
      <c r="G86" t="inlineStr">
        <is>
          <t>Sau mở bán</t>
        </is>
      </c>
      <c r="H86" t="inlineStr">
        <is>
          <t>Đã air</t>
        </is>
      </c>
      <c r="J86" t="inlineStr">
        <is>
          <t>https://www.tiktok.com/@topzone.official/video/7540000000617708138</t>
        </is>
      </c>
      <c r="K86" s="4" t="n">
        <v>46293</v>
      </c>
      <c r="L86" t="inlineStr">
        <is>
          <t>https://www.facebook.com/topzone.vn/videos/1200000008168862/</t>
        </is>
      </c>
      <c r="M86" t="inlineStr">
        <is>
          <t>Hùng</t>
        </is>
      </c>
      <c r="N86" t="inlineStr">
        <is>
          <t>Sketch hài - Ai Dè</t>
        </is>
      </c>
      <c r="O86" t="n">
        <v>82</v>
      </c>
      <c r="W86">
        <f>IFERROR(P86+S86+N(Y86),"")</f>
        <v/>
      </c>
      <c r="Z86">
        <f>IFERROR((Q86+R86)/P86,"")</f>
        <v/>
      </c>
      <c r="AA86">
        <f>IFERROR(S86/T86,"")</f>
        <v/>
      </c>
      <c r="AD86">
        <f>IFERROR(AC86/P86,"")</f>
        <v/>
      </c>
      <c r="AG86">
        <f>IFERROR(AF86/AE86,"")</f>
        <v/>
      </c>
      <c r="AK86">
        <f>IFERROR(AI86/AH86,"")</f>
        <v/>
      </c>
      <c r="AL86">
        <f>IFERROR(AJ86/AH86,"")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Giai đoạn</t>
        </is>
      </c>
      <c r="B1" s="3" t="inlineStr">
        <is>
          <t>Từ ngày</t>
        </is>
      </c>
      <c r="C1" s="3" t="inlineStr">
        <is>
          <t>Đến ngày</t>
        </is>
      </c>
      <c r="D1" s="3" t="inlineStr">
        <is>
          <t>Mục tiêu</t>
        </is>
      </c>
    </row>
    <row r="2">
      <c r="A2" t="inlineStr">
        <is>
          <t>T7 - BAU</t>
        </is>
      </c>
      <c r="B2" t="inlineStr">
        <is>
          <t>01/07/2026</t>
        </is>
      </c>
      <c r="C2" t="inlineStr">
        <is>
          <t>31/07/2026</t>
        </is>
      </c>
      <c r="D2" t="inlineStr">
        <is>
          <t>Doanh số BAU</t>
        </is>
      </c>
    </row>
    <row r="3">
      <c r="A3" t="inlineStr">
        <is>
          <t>Before Announce</t>
        </is>
      </c>
      <c r="B3" t="inlineStr">
        <is>
          <t>18/08/2026</t>
        </is>
      </c>
      <c r="C3" t="inlineStr">
        <is>
          <t>08/09/2026</t>
        </is>
      </c>
      <c r="D3" t="inlineStr">
        <is>
          <t>Khơi gợi</t>
        </is>
      </c>
    </row>
    <row r="4">
      <c r="A4" t="inlineStr">
        <is>
          <t>Announce</t>
        </is>
      </c>
      <c r="B4" t="inlineStr">
        <is>
          <t>09/09/2026</t>
        </is>
      </c>
      <c r="C4" t="inlineStr">
        <is>
          <t>10/09/2026</t>
        </is>
      </c>
      <c r="D4" t="inlineStr">
        <is>
          <t>Thông tin sản phẩm</t>
        </is>
      </c>
    </row>
    <row r="5">
      <c r="A5" t="inlineStr">
        <is>
          <t>Pre-order</t>
        </is>
      </c>
      <c r="B5" t="inlineStr">
        <is>
          <t>11/09/2026</t>
        </is>
      </c>
      <c r="C5" t="inlineStr">
        <is>
          <t>18/09/2026</t>
        </is>
      </c>
      <c r="D5" t="inlineStr">
        <is>
          <t>Đặt cọc</t>
        </is>
      </c>
    </row>
    <row r="6">
      <c r="A6" t="inlineStr">
        <is>
          <t>Mở bán</t>
        </is>
      </c>
      <c r="B6" t="inlineStr">
        <is>
          <t>19/09/2026</t>
        </is>
      </c>
      <c r="C6" t="inlineStr">
        <is>
          <t>24/09/2026</t>
        </is>
      </c>
      <c r="D6" t="inlineStr">
        <is>
          <t>Mở bán</t>
        </is>
      </c>
    </row>
    <row r="7">
      <c r="A7" t="inlineStr">
        <is>
          <t>Sau mở bán</t>
        </is>
      </c>
      <c r="B7" t="inlineStr">
        <is>
          <t>25/09/2026</t>
        </is>
      </c>
      <c r="C7" t="inlineStr">
        <is>
          <t>15/10/2026</t>
        </is>
      </c>
      <c r="D7" t="inlineStr">
        <is>
          <t>Duy trì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Tổng TikTok views</t>
        </is>
      </c>
      <c r="B1">
        <f>SUM('03 Content Calendars'!P:P)</f>
        <v/>
      </c>
    </row>
    <row r="2">
      <c r="A2" t="inlineStr">
        <is>
          <t>Tổng chi phí TikTok</t>
        </is>
      </c>
      <c r="B2">
        <f>SUM('03 Content Calendars'!AC:AC)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Campaign</t>
        </is>
      </c>
      <c r="B1" s="3" t="inlineStr">
        <is>
          <t>Nền tảng</t>
        </is>
      </c>
      <c r="C1" s="3" t="inlineStr">
        <is>
          <t>Ngân sách</t>
        </is>
      </c>
      <c r="D1" s="3" t="inlineStr">
        <is>
          <t>Từ</t>
        </is>
      </c>
      <c r="E1" s="3" t="inlineStr">
        <is>
          <t>Đến</t>
        </is>
      </c>
    </row>
    <row r="2">
      <c r="A2" t="inlineStr">
        <is>
          <t>TZ_2026-09_Mở_bán</t>
        </is>
      </c>
      <c r="B2" t="inlineStr">
        <is>
          <t>TikTok</t>
        </is>
      </c>
      <c r="C2" t="n">
        <v>150000000</v>
      </c>
      <c r="D2" t="inlineStr">
        <is>
          <t>19/09/2026</t>
        </is>
      </c>
      <c r="E2" t="inlineStr">
        <is>
          <t>24/09/2026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2026-10-08T11:39:48Z</dcterms:created>
  <dcterms:modified xmlns:dcterms="http://purl.org/dc/terms/" xmlns:xsi="http://www.w3.org/2001/XMLSchema-instance" xsi:type="dcterms:W3CDTF">2026-10-08T11:39:48Z</dcterms:modified>
</cp:coreProperties>
</file>